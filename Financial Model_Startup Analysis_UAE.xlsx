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mouminibarry/Desktop/Venture capital/"/>
    </mc:Choice>
  </mc:AlternateContent>
  <xr:revisionPtr revIDLastSave="0" documentId="8_{1508E4F8-DF2E-D243-BD90-276FC2B2A640}" xr6:coauthVersionLast="47" xr6:coauthVersionMax="47" xr10:uidLastSave="{00000000-0000-0000-0000-000000000000}"/>
  <bookViews>
    <workbookView xWindow="260" yWindow="500" windowWidth="28040" windowHeight="16280" xr2:uid="{015315A5-ECE8-644B-B176-CEC78358F3EB}"/>
  </bookViews>
  <sheets>
    <sheet name="Company Overview – BNPL Fintech" sheetId="1" r:id="rId1"/>
    <sheet name="Historical_Data &amp; Analysis" sheetId="10" r:id="rId2"/>
    <sheet name="Cohort in value" sheetId="12" r:id="rId3"/>
    <sheet name="Analysis" sheetId="5" r:id="rId4"/>
    <sheet name="P&amp;L Forecast" sheetId="7" r:id="rId5"/>
    <sheet name="Bridge" sheetId="13" r:id="rId6"/>
    <sheet name="Valuation" sheetId="14" r:id="rId7"/>
  </sheets>
  <definedNames>
    <definedName name="DonnéesExternes_1" localSheetId="1" hidden="1">'Historical_Data &amp; Analysis'!$A$2:$AA$38</definedName>
    <definedName name="DonnéesExternes_2" localSheetId="3" hidden="1">Analysis!$A$4:$D$40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82" i="14" l="1"/>
  <c r="D83" i="14"/>
  <c r="D84" i="14"/>
  <c r="D85" i="14"/>
  <c r="D86" i="14"/>
  <c r="D81" i="14"/>
  <c r="I70" i="14"/>
  <c r="D59" i="14"/>
  <c r="D53" i="14"/>
  <c r="D54" i="14"/>
  <c r="D55" i="14"/>
  <c r="I56" i="14" s="1"/>
  <c r="D56" i="14"/>
  <c r="D57" i="14"/>
  <c r="D52" i="14"/>
  <c r="D67" i="14"/>
  <c r="D68" i="14"/>
  <c r="D73" i="14" s="1"/>
  <c r="D69" i="14"/>
  <c r="D70" i="14"/>
  <c r="D71" i="14"/>
  <c r="D66" i="14"/>
  <c r="D88" i="14" l="1"/>
  <c r="I85" i="14" s="1"/>
  <c r="D26" i="14" l="1"/>
  <c r="K52" i="7" l="1"/>
  <c r="L30" i="7"/>
  <c r="M30" i="7" s="1"/>
  <c r="M49" i="7" s="1"/>
  <c r="B51" i="7"/>
  <c r="C51" i="7" s="1"/>
  <c r="D51" i="7" s="1"/>
  <c r="E51" i="7" s="1"/>
  <c r="K50" i="7"/>
  <c r="H11" i="5"/>
  <c r="H7" i="5"/>
  <c r="I8" i="5"/>
  <c r="D66" i="7"/>
  <c r="C66" i="7"/>
  <c r="E66" i="7"/>
  <c r="K38" i="7"/>
  <c r="K39" i="7"/>
  <c r="K40" i="7"/>
  <c r="K42" i="7"/>
  <c r="K43" i="7"/>
  <c r="K44" i="7"/>
  <c r="K51" i="7"/>
  <c r="B45" i="7"/>
  <c r="H9" i="5"/>
  <c r="B15" i="7"/>
  <c r="B14" i="7"/>
  <c r="B13" i="7"/>
  <c r="B16" i="7"/>
  <c r="B9" i="7"/>
  <c r="B8" i="7"/>
  <c r="B6" i="7"/>
  <c r="B5" i="7"/>
  <c r="B4" i="7"/>
  <c r="J11" i="5"/>
  <c r="I11" i="5"/>
  <c r="J10" i="5"/>
  <c r="I10" i="5"/>
  <c r="H10" i="5"/>
  <c r="J9" i="5"/>
  <c r="I9" i="5"/>
  <c r="H8" i="5"/>
  <c r="J6" i="5"/>
  <c r="I6" i="5"/>
  <c r="H6" i="5"/>
  <c r="J5" i="5"/>
  <c r="I5" i="5"/>
  <c r="H5" i="5"/>
  <c r="J8" i="5"/>
  <c r="J7" i="5"/>
  <c r="I7" i="5"/>
  <c r="B7" i="7" l="1"/>
  <c r="B11" i="7"/>
  <c r="M31" i="7"/>
  <c r="L31" i="7"/>
  <c r="L32" i="7" s="1"/>
  <c r="L49" i="7"/>
  <c r="N30" i="7"/>
  <c r="O30" i="7" s="1"/>
  <c r="K37" i="7"/>
  <c r="K41" i="7"/>
  <c r="K48" i="7"/>
  <c r="B3" i="7"/>
  <c r="H12" i="5"/>
  <c r="J12" i="5"/>
  <c r="I12" i="5"/>
  <c r="M32" i="7" l="1"/>
  <c r="L33" i="7"/>
  <c r="L40" i="7" s="1"/>
  <c r="L38" i="7"/>
  <c r="L43" i="7"/>
  <c r="L44" i="7"/>
  <c r="L42" i="7"/>
  <c r="L39" i="7"/>
  <c r="L50" i="7"/>
  <c r="M33" i="7"/>
  <c r="K53" i="7"/>
  <c r="L41" i="7" l="1"/>
  <c r="N49" i="7"/>
  <c r="N31" i="7"/>
  <c r="M42" i="7"/>
  <c r="M39" i="7"/>
  <c r="M43" i="7"/>
  <c r="M44" i="7"/>
  <c r="M38" i="7"/>
  <c r="M50" i="7"/>
  <c r="M40" i="7"/>
  <c r="L37" i="7"/>
  <c r="L46" i="7" l="1"/>
  <c r="L51" i="7"/>
  <c r="L52" i="7"/>
  <c r="N32" i="7"/>
  <c r="N33" i="7" s="1"/>
  <c r="M37" i="7"/>
  <c r="M41" i="7"/>
  <c r="O31" i="7"/>
  <c r="O49" i="7"/>
  <c r="P30" i="7"/>
  <c r="M51" i="7" l="1"/>
  <c r="M52" i="7"/>
  <c r="L48" i="7"/>
  <c r="L53" i="7" s="1"/>
  <c r="O32" i="7"/>
  <c r="O33" i="7"/>
  <c r="P31" i="7"/>
  <c r="P32" i="7" s="1"/>
  <c r="P49" i="7"/>
  <c r="N50" i="7"/>
  <c r="N40" i="7"/>
  <c r="N43" i="7"/>
  <c r="N39" i="7"/>
  <c r="N42" i="7"/>
  <c r="N44" i="7"/>
  <c r="N38" i="7"/>
  <c r="Q30" i="7"/>
  <c r="M48" i="7" l="1"/>
  <c r="M53" i="7" s="1"/>
  <c r="P33" i="7"/>
  <c r="Q49" i="7"/>
  <c r="Q31" i="7"/>
  <c r="Q32" i="7" s="1"/>
  <c r="O44" i="7"/>
  <c r="O38" i="7"/>
  <c r="O43" i="7"/>
  <c r="O50" i="7"/>
  <c r="O40" i="7"/>
  <c r="O42" i="7"/>
  <c r="O39" i="7"/>
  <c r="N37" i="7"/>
  <c r="N41" i="7"/>
  <c r="M46" i="7"/>
  <c r="R30" i="7"/>
  <c r="N51" i="7" l="1"/>
  <c r="N52" i="7"/>
  <c r="O37" i="7"/>
  <c r="Q33" i="7"/>
  <c r="P42" i="7"/>
  <c r="P44" i="7"/>
  <c r="P38" i="7"/>
  <c r="P50" i="7"/>
  <c r="P40" i="7"/>
  <c r="P39" i="7"/>
  <c r="P43" i="7"/>
  <c r="R49" i="7"/>
  <c r="R31" i="7"/>
  <c r="R32" i="7" s="1"/>
  <c r="O41" i="7"/>
  <c r="O46" i="7"/>
  <c r="N46" i="7"/>
  <c r="S30" i="7"/>
  <c r="O52" i="7" l="1"/>
  <c r="O51" i="7"/>
  <c r="O48" i="7" s="1"/>
  <c r="O53" i="7" s="1"/>
  <c r="N48" i="7"/>
  <c r="N53" i="7" s="1"/>
  <c r="R33" i="7"/>
  <c r="S31" i="7"/>
  <c r="S32" i="7" s="1"/>
  <c r="S49" i="7"/>
  <c r="P37" i="7"/>
  <c r="P41" i="7"/>
  <c r="Q50" i="7"/>
  <c r="Q40" i="7"/>
  <c r="Q42" i="7"/>
  <c r="Q44" i="7"/>
  <c r="Q38" i="7"/>
  <c r="Q43" i="7"/>
  <c r="Q39" i="7"/>
  <c r="T30" i="7"/>
  <c r="P51" i="7" l="1"/>
  <c r="P52" i="7"/>
  <c r="P46" i="7"/>
  <c r="S33" i="7"/>
  <c r="Q37" i="7"/>
  <c r="T49" i="7"/>
  <c r="T31" i="7"/>
  <c r="T32" i="7" s="1"/>
  <c r="R39" i="7"/>
  <c r="R44" i="7"/>
  <c r="R50" i="7"/>
  <c r="R40" i="7"/>
  <c r="R38" i="7"/>
  <c r="R43" i="7"/>
  <c r="R42" i="7"/>
  <c r="Q41" i="7"/>
  <c r="U30" i="7"/>
  <c r="Q51" i="7" l="1"/>
  <c r="Q52" i="7"/>
  <c r="P48" i="7"/>
  <c r="P53" i="7" s="1"/>
  <c r="Q46" i="7"/>
  <c r="T33" i="7"/>
  <c r="R41" i="7"/>
  <c r="U31" i="7"/>
  <c r="U32" i="7" s="1"/>
  <c r="U49" i="7"/>
  <c r="R37" i="7"/>
  <c r="S43" i="7"/>
  <c r="S44" i="7"/>
  <c r="S38" i="7"/>
  <c r="S40" i="7"/>
  <c r="S39" i="7"/>
  <c r="S50" i="7"/>
  <c r="S42" i="7"/>
  <c r="V30" i="7"/>
  <c r="R51" i="7" l="1"/>
  <c r="R52" i="7"/>
  <c r="Q48" i="7"/>
  <c r="Q53" i="7" s="1"/>
  <c r="R46" i="7"/>
  <c r="U33" i="7"/>
  <c r="S41" i="7"/>
  <c r="W30" i="7"/>
  <c r="V31" i="7"/>
  <c r="V32" i="7" s="1"/>
  <c r="V49" i="7"/>
  <c r="S37" i="7"/>
  <c r="T44" i="7"/>
  <c r="T43" i="7"/>
  <c r="T38" i="7"/>
  <c r="T39" i="7"/>
  <c r="T50" i="7"/>
  <c r="T40" i="7"/>
  <c r="T42" i="7"/>
  <c r="S46" i="7" l="1"/>
  <c r="S51" i="7"/>
  <c r="S52" i="7"/>
  <c r="R48" i="7"/>
  <c r="R53" i="7" s="1"/>
  <c r="B22" i="7"/>
  <c r="C22" i="7"/>
  <c r="D22" i="7" s="1"/>
  <c r="V33" i="7"/>
  <c r="W31" i="7"/>
  <c r="W49" i="7"/>
  <c r="C12" i="7" s="1"/>
  <c r="U42" i="7"/>
  <c r="U39" i="7"/>
  <c r="U43" i="7"/>
  <c r="U44" i="7"/>
  <c r="U38" i="7"/>
  <c r="U50" i="7"/>
  <c r="U40" i="7"/>
  <c r="T41" i="7"/>
  <c r="T37" i="7"/>
  <c r="T52" i="7" l="1"/>
  <c r="T51" i="7"/>
  <c r="S48" i="7"/>
  <c r="S53" i="7" s="1"/>
  <c r="W32" i="7"/>
  <c r="W33" i="7" s="1"/>
  <c r="W44" i="7" s="1"/>
  <c r="E22" i="7"/>
  <c r="F22" i="7" s="1"/>
  <c r="B23" i="7"/>
  <c r="D12" i="7"/>
  <c r="U41" i="7"/>
  <c r="V50" i="7"/>
  <c r="V40" i="7"/>
  <c r="V42" i="7"/>
  <c r="V43" i="7"/>
  <c r="V39" i="7"/>
  <c r="V44" i="7"/>
  <c r="V38" i="7"/>
  <c r="U37" i="7"/>
  <c r="T46" i="7"/>
  <c r="B24" i="7" l="1"/>
  <c r="B25" i="7" s="1"/>
  <c r="W42" i="7"/>
  <c r="W43" i="7"/>
  <c r="C9" i="7" s="1"/>
  <c r="W40" i="7"/>
  <c r="C6" i="7" s="1"/>
  <c r="W50" i="7"/>
  <c r="W39" i="7"/>
  <c r="C5" i="7" s="1"/>
  <c r="W38" i="7"/>
  <c r="W37" i="7" s="1"/>
  <c r="T48" i="7"/>
  <c r="T53" i="7" s="1"/>
  <c r="U46" i="7"/>
  <c r="U51" i="7"/>
  <c r="U52" i="7"/>
  <c r="V37" i="7"/>
  <c r="W41" i="7"/>
  <c r="C8" i="7"/>
  <c r="C7" i="7" s="1"/>
  <c r="E12" i="7"/>
  <c r="D23" i="7"/>
  <c r="F12" i="7"/>
  <c r="G22" i="7"/>
  <c r="H22" i="7" s="1"/>
  <c r="G12" i="7" s="1"/>
  <c r="V41" i="7"/>
  <c r="C16" i="7"/>
  <c r="D16" i="7" l="1"/>
  <c r="D6" i="7"/>
  <c r="D8" i="7"/>
  <c r="D4" i="7"/>
  <c r="D13" i="7"/>
  <c r="D5" i="7"/>
  <c r="D9" i="7"/>
  <c r="D7" i="7" s="1"/>
  <c r="D25" i="7"/>
  <c r="E4" i="7" s="1"/>
  <c r="D24" i="7"/>
  <c r="C4" i="7"/>
  <c r="U48" i="7"/>
  <c r="U53" i="7" s="1"/>
  <c r="W52" i="7"/>
  <c r="W51" i="7"/>
  <c r="V51" i="7"/>
  <c r="V52" i="7"/>
  <c r="F23" i="7"/>
  <c r="F24" i="7" s="1"/>
  <c r="F25" i="7" s="1"/>
  <c r="H23" i="7"/>
  <c r="H24" i="7" s="1"/>
  <c r="H25" i="7" s="1"/>
  <c r="C3" i="7"/>
  <c r="C13" i="7"/>
  <c r="V46" i="7"/>
  <c r="W46" i="7"/>
  <c r="D3" i="7" l="1"/>
  <c r="C15" i="14" s="1"/>
  <c r="E16" i="7"/>
  <c r="E8" i="7"/>
  <c r="E13" i="7"/>
  <c r="E5" i="7"/>
  <c r="C15" i="7"/>
  <c r="C11" i="7" s="1"/>
  <c r="B15" i="14"/>
  <c r="E9" i="7"/>
  <c r="E6" i="7"/>
  <c r="C14" i="7"/>
  <c r="D15" i="7"/>
  <c r="D14" i="7"/>
  <c r="D11" i="7" s="1"/>
  <c r="W48" i="7"/>
  <c r="W53" i="7" s="1"/>
  <c r="V48" i="7"/>
  <c r="V53" i="7" s="1"/>
  <c r="F5" i="7"/>
  <c r="F4" i="7"/>
  <c r="F8" i="7"/>
  <c r="F13" i="7"/>
  <c r="F16" i="7"/>
  <c r="F9" i="7"/>
  <c r="F6" i="7"/>
  <c r="G6" i="7"/>
  <c r="G5" i="7"/>
  <c r="G8" i="7"/>
  <c r="G7" i="7" s="1"/>
  <c r="G13" i="7"/>
  <c r="G4" i="7"/>
  <c r="G16" i="7"/>
  <c r="G9" i="7"/>
  <c r="E3" i="7" l="1"/>
  <c r="D15" i="14" s="1"/>
  <c r="E7" i="7"/>
  <c r="E14" i="7"/>
  <c r="E15" i="7"/>
  <c r="F7" i="7"/>
  <c r="G3" i="7"/>
  <c r="F15" i="14" s="1"/>
  <c r="G15" i="14" s="1"/>
  <c r="H15" i="14" s="1"/>
  <c r="I15" i="14" s="1"/>
  <c r="F3" i="7"/>
  <c r="E15" i="14" s="1"/>
  <c r="I20" i="14" l="1"/>
  <c r="I18" i="14"/>
  <c r="F14" i="7"/>
  <c r="F15" i="7"/>
  <c r="G15" i="7"/>
  <c r="G14" i="7"/>
  <c r="E11" i="7"/>
  <c r="E17" i="7" s="1"/>
  <c r="G11" i="7"/>
  <c r="G17" i="7" s="1"/>
  <c r="B17" i="7"/>
  <c r="B10" i="7"/>
  <c r="C10" i="7"/>
  <c r="C17" i="7"/>
  <c r="F10" i="7"/>
  <c r="G10" i="7"/>
  <c r="D10" i="7"/>
  <c r="D17" i="7"/>
  <c r="E10" i="7"/>
  <c r="I21" i="14" l="1"/>
  <c r="B26" i="14"/>
  <c r="F11" i="7"/>
  <c r="F17"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CD0519-7CCC-0740-A56C-1EE599BEAA56}" keepAlive="1" name="Requête - Cochort Analysis Finale" description="Connexion à la requête « Cochort Analysis Finale » dans le classeur." type="5" refreshedVersion="8" background="1" saveData="1">
    <dbPr connection="Provider=Microsoft.Mashup.OleDb.1;Data Source=$Workbook$;Location=&quot;Cochort Analysis Finale&quot;;Extended Properties=&quot;&quot;" command="SELECT * FROM [Cochort Analysis Finale]"/>
  </connection>
  <connection id="2" xr16:uid="{5F03DEF6-79AC-344D-8C14-85E8A1ABBB51}" keepAlive="1" name="Requête - Table" description="Connexion à la requête « Table » dans le classeur." type="5" refreshedVersion="8" background="1" saveData="1">
    <dbPr connection="Provider=Microsoft.Mashup.OleDb.1;Data Source=$Workbook$;Location=Table;Extended Properties=&quot;&quot;" command="SELECT * FROM [Table]"/>
  </connection>
</connections>
</file>

<file path=xl/sharedStrings.xml><?xml version="1.0" encoding="utf-8"?>
<sst xmlns="http://schemas.openxmlformats.org/spreadsheetml/2006/main" count="381" uniqueCount="229">
  <si>
    <t>Solution</t>
  </si>
  <si>
    <t>LTV/CAC</t>
  </si>
  <si>
    <t>Mois</t>
  </si>
  <si>
    <t>New Users</t>
  </si>
  <si>
    <t>CAC</t>
  </si>
  <si>
    <t>Marketing Spend</t>
  </si>
  <si>
    <t>Paid Users</t>
  </si>
  <si>
    <t>Organic Users</t>
  </si>
  <si>
    <t>Active Users</t>
  </si>
  <si>
    <t>Churn %</t>
  </si>
  <si>
    <t>GMV</t>
  </si>
  <si>
    <t>BNPL Tx</t>
  </si>
  <si>
    <t>Revenue</t>
  </si>
  <si>
    <t>Merchant Fees</t>
  </si>
  <si>
    <t>Late Fees</t>
  </si>
  <si>
    <t>Interchange</t>
  </si>
  <si>
    <t>Cost of Funds</t>
  </si>
  <si>
    <t>Bad Debt</t>
  </si>
  <si>
    <t>Salaries</t>
  </si>
  <si>
    <t>Tech &amp; Cloud</t>
  </si>
  <si>
    <t>Compliance</t>
  </si>
  <si>
    <t>G&amp;A</t>
  </si>
  <si>
    <t>ARPU</t>
  </si>
  <si>
    <t>GM %</t>
  </si>
  <si>
    <t>CM %</t>
  </si>
  <si>
    <t>Cohort</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</si>
  <si>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</si>
  <si>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</si>
  <si>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</si>
  <si>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</si>
  <si>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</si>
  <si>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</si>
  <si>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</si>
  <si>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</si>
  <si>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</si>
  <si>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</si>
  <si>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</si>
  <si>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</si>
  <si>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</si>
  <si>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</si>
  <si>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</si>
  <si>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</si>
  <si>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</si>
  <si>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</si>
  <si>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</si>
  <si>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</si>
  <si>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</si>
  <si>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</si>
  <si>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</si>
  <si>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</si>
  <si>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</si>
  <si>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</si>
  <si>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</si>
  <si>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</si>
  <si>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</si>
  <si>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</si>
  <si>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</si>
  <si>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</si>
  <si>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</si>
  <si>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</si>
  <si>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</si>
  <si>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</si>
  <si>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Cohort Analysis</t>
  </si>
  <si>
    <t>Churn</t>
  </si>
  <si>
    <t>LT</t>
  </si>
  <si>
    <t>LTV</t>
  </si>
  <si>
    <t>Gross margin</t>
  </si>
  <si>
    <t>Take rate</t>
  </si>
  <si>
    <t>Payback period</t>
  </si>
  <si>
    <t>Trend</t>
  </si>
  <si>
    <t xml:space="preserve">Metrics  </t>
  </si>
  <si>
    <t>Note</t>
  </si>
  <si>
    <t>Method Used : Arythmetic average based on monthly data</t>
  </si>
  <si>
    <t>CMGR</t>
  </si>
  <si>
    <t>Assumptions</t>
  </si>
  <si>
    <t>Merchant fees</t>
  </si>
  <si>
    <t>Late fees</t>
  </si>
  <si>
    <t>COGS</t>
  </si>
  <si>
    <t>Cost of funds</t>
  </si>
  <si>
    <t>Bad debt</t>
  </si>
  <si>
    <t>Tech &amp; cloud</t>
  </si>
  <si>
    <t>OPEX</t>
  </si>
  <si>
    <t>Marketing</t>
  </si>
  <si>
    <t>EBITDA</t>
  </si>
  <si>
    <t>Drivers</t>
  </si>
  <si>
    <t>Active users</t>
  </si>
  <si>
    <t>New user</t>
  </si>
  <si>
    <t>Interchange fees</t>
  </si>
  <si>
    <t>Monthly Assumptions</t>
  </si>
  <si>
    <t>Comment</t>
  </si>
  <si>
    <t>Growth new user</t>
  </si>
  <si>
    <t xml:space="preserve"> </t>
  </si>
  <si>
    <t>Organic</t>
  </si>
  <si>
    <t>Paid</t>
  </si>
  <si>
    <t>of New users</t>
  </si>
  <si>
    <t>Active user</t>
  </si>
  <si>
    <t>Each month</t>
  </si>
  <si>
    <t xml:space="preserve">Fixed charge given </t>
  </si>
  <si>
    <t>Of GMV</t>
  </si>
  <si>
    <t xml:space="preserve">each month </t>
  </si>
  <si>
    <t>BNLP tx</t>
  </si>
  <si>
    <t>of GMV</t>
  </si>
  <si>
    <t xml:space="preserve">Fixed cap </t>
  </si>
  <si>
    <t>on previous month</t>
  </si>
  <si>
    <t>Growth Monthly new user</t>
  </si>
  <si>
    <t>of BNLP tx</t>
  </si>
  <si>
    <t>2024A</t>
  </si>
  <si>
    <t>2025E</t>
  </si>
  <si>
    <t>2026E</t>
  </si>
  <si>
    <t>2027E</t>
  </si>
  <si>
    <t>2028E</t>
  </si>
  <si>
    <t>2029E</t>
  </si>
  <si>
    <t>P&amp;L 2025 per month</t>
  </si>
  <si>
    <t xml:space="preserve">Projected P&amp;L </t>
  </si>
  <si>
    <t>Cohorte</t>
  </si>
  <si>
    <t>New users_start</t>
  </si>
  <si>
    <t>M36</t>
  </si>
  <si>
    <t>End M1</t>
  </si>
  <si>
    <t>EndM2</t>
  </si>
  <si>
    <t>Churn mensuel</t>
  </si>
  <si>
    <t>-</t>
  </si>
  <si>
    <t>Rétention End A1 (M12)</t>
  </si>
  <si>
    <t>Rétention End A2 (M24)</t>
  </si>
  <si>
    <t>Rétention End A3 (M36)</t>
  </si>
  <si>
    <t>Stickiness</t>
  </si>
  <si>
    <t>Nouveaux clients Actifs</t>
  </si>
  <si>
    <t>Average transaction amount per user</t>
  </si>
  <si>
    <t>of revenue</t>
  </si>
  <si>
    <t>Of revenue</t>
  </si>
  <si>
    <t>GMV Bridge (2025 → 2029)</t>
  </si>
  <si>
    <t>Between 2025 and 2026, GMV increases mainly due to higher new-user volumes, improving stickiness, and a higher average transaction amount. Overall, GMV grows by approximately +88M, driven mostly by user growth (+72M) and an uplift in ARPU (+15M).</t>
  </si>
  <si>
    <t>From 2026 to 2027, GMV rises by about +234M, explained by strong expansion in active users, an increase in stickiness from 14% to 15%, and a 6% rise in the average transaction value. Roughly +168M comes from user volume, while +65M is explained by higher ARPU.</t>
  </si>
  <si>
    <t>From 2027 to 2028, GMV grows by about +292M. This is supported by continued scale in the active-user base, stickiness increasing to 16.5%, and a higher share of BNPL-eligible transactions. Around +210M comes from volume growth and +81M from ARPU gains.</t>
  </si>
  <si>
    <t>From 2028 to 2029, GMV increases by roughly +267M. The growth is slower but still material, driven by steady new-user acquisition, stickiness improving to 17%, and a slightly higher transaction value. About +204M comes from user volume and +62M from ARPU.</t>
  </si>
  <si>
    <t>Revenue Bridge (2025 → 2029)</t>
  </si>
  <si>
    <t>From 2025 to 2026, revenue increases by roughly +3.3M, driven by higher GMV flowing through merchant fees, late fees, and interchange.</t>
  </si>
  <si>
    <t>Between 2026 and 2027, revenue rises by approximately +10.5M, almost entirely explained by the sharp GMV expansion.</t>
  </si>
  <si>
    <t>From 2027 to 2028, revenue grows by around +13.1M, supported by GMV growth of +292M, stable fee rates, and higher late-fee income.</t>
  </si>
  <si>
    <t>Between 2028 and 2029, revenue increases by +10.1M. GMV keeps scaling, although the merchant-fee rate drops slightly from 4% to 3.8%, resulting in slower revenue growth relative to GMV.</t>
  </si>
  <si>
    <t>EBITDA Bridge (2025 → 2029)</t>
  </si>
  <si>
    <t>From 2025 to 2026, EBITDA declines by roughly –2.25M. Revenue grows significantly, but this is offset by higher salary expenses, an increase in tech and cloud costs indexed to GMV, and overall OPEX growing faster than revenue.</t>
  </si>
  <si>
    <t>Between 2026 and 2027, EBITDA improves by about +4.5M. Revenue rises by more than +10M, while salary costs decrease from 50% to 45% of revenue and CAC efficiency improves.</t>
  </si>
  <si>
    <t>From 2027 to 2028, EBITDA strengthens by approximately +4.9M, driven by +13M in revenue growth, continued reduction in salary ratio (40% of revenue), and tech/cloud efficiency improving to 1.2% of GMV.</t>
  </si>
  <si>
    <t>Between 2028 and 2029, EBITDA improves by around +2.3M. Revenue grows by +10M, but this is partially offset by a higher cost-of-funds factor (moving from 6 to 7) and higher financing costs. EBITDA remains negative but moves closer to break-even.</t>
  </si>
  <si>
    <t>New Users(t) = New Users(t–1) × (1 + growth rate)</t>
  </si>
  <si>
    <t>Active Customers</t>
  </si>
  <si>
    <t>Active Users = Previous Active + (New × Stickiness) – Churned</t>
  </si>
  <si>
    <t>GMV = Active Users × Average Transaction Amount</t>
  </si>
  <si>
    <t>Merchant fees = GMV × %</t>
  </si>
  <si>
    <t>Late fees = GMV × %</t>
  </si>
  <si>
    <t>Interchange = GMV × %</t>
  </si>
  <si>
    <t>Revenue = sum of all components</t>
  </si>
  <si>
    <t>Cost of funds = BNPL volume × factor</t>
  </si>
  <si>
    <t>Bad debt = GMV × %</t>
  </si>
  <si>
    <t>COGS = cost of funds + bad debt</t>
  </si>
  <si>
    <t>Salaries = Revenue × %</t>
  </si>
  <si>
    <t>G&amp;A = Revenue × %</t>
  </si>
  <si>
    <t>Tech &amp; cloud = GMV × %</t>
  </si>
  <si>
    <t>Compliance = GMV × %</t>
  </si>
  <si>
    <t>Marketing = CAC × Paid share × New Users</t>
  </si>
  <si>
    <t>Core Business Drivers – Annual View</t>
  </si>
  <si>
    <t>Factor cost of funds</t>
  </si>
  <si>
    <t>Fix fees</t>
  </si>
  <si>
    <t>Afterpay</t>
  </si>
  <si>
    <t>Tabby</t>
  </si>
  <si>
    <t>Tamara</t>
  </si>
  <si>
    <t>Acquired by Block for ~25× revenue</t>
  </si>
  <si>
    <t>Revenue multiple estimated between 10× and 15×</t>
  </si>
  <si>
    <t>Similar revenue multiple range: 8× – 12×</t>
  </si>
  <si>
    <t>Exit multiple</t>
  </si>
  <si>
    <t>Post money future</t>
  </si>
  <si>
    <t>TIR</t>
  </si>
  <si>
    <t>Valorisation post money</t>
  </si>
  <si>
    <t>Dilution</t>
  </si>
  <si>
    <t>Sensitivity Analysis VPM</t>
  </si>
  <si>
    <t>VC Calculation</t>
  </si>
  <si>
    <t>Exit Multiple Comparable</t>
  </si>
  <si>
    <t>VC Method ARR</t>
  </si>
  <si>
    <t>Based on market comparables and the start-up's growth, the exit multiple is estimated at 10</t>
  </si>
  <si>
    <t>Multiple income scenarios</t>
  </si>
  <si>
    <t>VC ownership scenarios (%)</t>
  </si>
  <si>
    <t>Score card Valuation</t>
  </si>
  <si>
    <t>Average pre-money valuation of a comparable company in the region</t>
  </si>
  <si>
    <t>Benchmark</t>
  </si>
  <si>
    <t>Tabby (UAE – BNPL)</t>
  </si>
  <si>
    <t>(based on disclosed fundraising amounts and inferred dilution).</t>
  </si>
  <si>
    <t>Tamara (KSA – BNPL)</t>
  </si>
  <si>
    <t>Postpay (UAE – BNPL)</t>
  </si>
  <si>
    <t>Other Lending &amp; Payments Fintechs (UAE)</t>
  </si>
  <si>
    <t>Seed valuation estimated between $15M and $25M</t>
  </si>
  <si>
    <t>Seed stage valuation estimated around $15M.</t>
  </si>
  <si>
    <t>Early-stage valuation estimated around $10M–$12M.</t>
  </si>
  <si>
    <t>Typical Seed valuations range $12M–$20M depending on traction, GMV, risk profile, and partnerships.</t>
  </si>
  <si>
    <t>Base Assumption</t>
  </si>
  <si>
    <t>Cash in year</t>
  </si>
  <si>
    <t>Comparison Factor</t>
  </si>
  <si>
    <t>Range</t>
  </si>
  <si>
    <t>Our start up</t>
  </si>
  <si>
    <t>Factor</t>
  </si>
  <si>
    <t>Strength of the Team</t>
  </si>
  <si>
    <t>Size of the Opportunity</t>
  </si>
  <si>
    <t>Product &amp; Technology</t>
  </si>
  <si>
    <t>Traction</t>
  </si>
  <si>
    <t>Competitive Environment</t>
  </si>
  <si>
    <t>Business Model / Unit Economics</t>
  </si>
  <si>
    <t>Sum</t>
  </si>
  <si>
    <t>Score Card Valuation</t>
  </si>
  <si>
    <t>Low Assumption</t>
  </si>
  <si>
    <t>High Assumption</t>
  </si>
  <si>
    <t>Market Context</t>
  </si>
  <si>
    <r>
      <t xml:space="preserve">The UAE consumer finance market shows strong demand for flexible payment solutions, especially among </t>
    </r>
    <r>
      <rPr>
        <b/>
        <sz val="12"/>
        <color theme="1"/>
        <rFont val="Calibri"/>
        <family val="2"/>
        <scheme val="minor"/>
      </rPr>
      <t>young expatriates</t>
    </r>
    <r>
      <rPr>
        <sz val="12"/>
        <color theme="1"/>
        <rFont val="Calibri"/>
        <family val="2"/>
        <scheme val="minor"/>
      </rPr>
      <t>, who often face:</t>
    </r>
  </si>
  <si>
    <t>Low access to traditional consumer credit</t>
  </si>
  <si>
    <t>High interest rates on small-ticket loans (&lt; 5,000 AED)</t>
  </si>
  <si>
    <t>Growing reliance on e-commerce purchases requiring installment options</t>
  </si>
  <si>
    <t>This structural gap creates an opportunity for a scalable and compliant BNPL alternative.</t>
  </si>
  <si>
    <t>Problem</t>
  </si>
  <si>
    <t>Limited adoption of consumer credit due to strict banking requirements</t>
  </si>
  <si>
    <t>High APRs preventing small recurring purchases</t>
  </si>
  <si>
    <t>Merchants lacking simple installment tools for conversion and retention</t>
  </si>
  <si>
    <r>
      <t xml:space="preserve">A BNPL platform offering </t>
    </r>
    <r>
      <rPr>
        <b/>
        <sz val="12"/>
        <color theme="1"/>
        <rFont val="Calibri"/>
        <family val="2"/>
        <scheme val="minor"/>
      </rPr>
      <t>3-installment and 4-installment plans</t>
    </r>
    <r>
      <rPr>
        <sz val="12"/>
        <color theme="1"/>
        <rFont val="Calibri"/>
        <family val="2"/>
        <scheme val="minor"/>
      </rPr>
      <t>, with:</t>
    </r>
  </si>
  <si>
    <r>
      <t>API integration</t>
    </r>
    <r>
      <rPr>
        <sz val="12"/>
        <color theme="1"/>
        <rFont val="Calibri"/>
        <family val="2"/>
        <scheme val="minor"/>
      </rPr>
      <t xml:space="preserve"> across </t>
    </r>
    <r>
      <rPr>
        <b/>
        <sz val="12"/>
        <color theme="1"/>
        <rFont val="Calibri"/>
        <family val="2"/>
        <scheme val="minor"/>
      </rPr>
      <t>210+ partner merchants</t>
    </r>
  </si>
  <si>
    <r>
      <t xml:space="preserve">A </t>
    </r>
    <r>
      <rPr>
        <b/>
        <sz val="12"/>
        <color theme="1"/>
        <rFont val="Calibri"/>
        <family val="2"/>
        <scheme val="minor"/>
      </rPr>
      <t>mobile app</t>
    </r>
    <r>
      <rPr>
        <sz val="12"/>
        <color theme="1"/>
        <rFont val="Calibri"/>
        <family val="2"/>
        <scheme val="minor"/>
      </rPr>
      <t xml:space="preserve"> equipped with internal credit scoring and risk segmentation</t>
    </r>
  </si>
  <si>
    <t>A hybrid revenue model combining:</t>
  </si>
  <si>
    <t>Merchant discount fees (2.8%–4.5%)</t>
  </si>
  <si>
    <t>Soft late fees</t>
  </si>
  <si>
    <r>
      <t>Interchange revenue</t>
    </r>
    <r>
      <rPr>
        <sz val="12"/>
        <color theme="1"/>
        <rFont val="Calibri"/>
        <family val="2"/>
        <scheme val="minor"/>
      </rPr>
      <t xml:space="preserve"> from the PayFlex virtual card</t>
    </r>
  </si>
  <si>
    <t>This model allows us to scale both digitally and through merchant networks, improving conversion rates while managing risk through proprietary scoring.</t>
  </si>
  <si>
    <t>Our company operates in the Buy Now Pay Later (BNPL) sector in the United Arab Emirates, targeting both individual users and partner merchants through a B2C and B2B2C model. We are currently raising a Seed+ round of USD 2.5M to accelerate growth, expand merchant integrations, and strengthen our risk-scoring infrastructure ahead of a future Series A.</t>
  </si>
  <si>
    <r>
      <t>Note:</t>
    </r>
    <r>
      <rPr>
        <sz val="12"/>
        <color theme="1"/>
        <rFont val="Calibri"/>
        <family val="2"/>
        <scheme val="minor"/>
      </rPr>
      <t xml:space="preserve"> Some calculations such as </t>
    </r>
    <r>
      <rPr>
        <b/>
        <sz val="12"/>
        <color theme="1"/>
        <rFont val="Calibri"/>
        <family val="2"/>
        <scheme val="minor"/>
      </rPr>
      <t>LT, LTV, Take Rate, and Payback Period</t>
    </r>
    <r>
      <rPr>
        <sz val="12"/>
        <color theme="1"/>
        <rFont val="Calibri"/>
        <family val="2"/>
        <scheme val="minor"/>
      </rPr>
      <t xml:space="preserve"> were performed using </t>
    </r>
    <r>
      <rPr>
        <b/>
        <sz val="12"/>
        <color theme="1"/>
        <rFont val="Calibri"/>
        <family val="2"/>
        <scheme val="minor"/>
      </rPr>
      <t>Power Query</t>
    </r>
    <r>
      <rPr>
        <sz val="12"/>
        <color theme="1"/>
        <rFont val="Calibri"/>
        <family val="2"/>
        <scheme val="minor"/>
      </rPr>
      <t xml:space="preserve"> to streamline data processing. The remaining figures come from historical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</si>
</sst>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1" formatCode="0.0%"/>
    <numFmt numFmtId="173" formatCode="#,##0.00\ &quot;MAD&quot;"/>
    <numFmt numFmtId="183" formatCode=";;;"/>
    <numFmt numFmtId="184" formatCode="_-* #,##0_-;\(#,##0\)_-;_-* &quot;-&quot;_-;_-@"/>
  </numFmts>
  <fonts count="14"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8"/>
      <color theme="1"/>
      <name val="Calibri"/>
      <family val="2"/>
      <scheme val="minor"/>
    </font>
    <font>
      <b/>
      <sz val="14"/>
      <color theme="1"/>
      <name val="Calibri"/>
      <family val="2"/>
      <scheme val="minor"/>
    </font>
    <font>
      <b/>
      <sz val="16"/>
      <color theme="1"/>
      <name val="Calibri"/>
      <family val="2"/>
      <scheme val="minor"/>
    </font>
    <font>
      <i/>
      <sz val="12"/>
      <color theme="1"/>
      <name val="Calibri"/>
      <family val="2"/>
      <scheme val="minor"/>
    </font>
    <font>
      <sz val="12"/>
      <color rgb="FF000000"/>
      <name val="Calibri"/>
      <family val="2"/>
      <scheme val="minor"/>
    </font>
    <font>
      <b/>
      <i/>
      <sz val="12"/>
      <color theme="1"/>
      <name val="Calibri"/>
      <family val="2"/>
      <scheme val="minor"/>
    </font>
    <font>
      <b/>
      <sz val="11"/>
      <color theme="1"/>
      <name val="Calibri"/>
      <family val="2"/>
      <scheme val="minor"/>
    </font>
    <font>
      <sz val="10"/>
      <color theme="1"/>
      <name val="Arial"/>
      <family val="2"/>
    </font>
    <font>
      <b/>
      <sz val="10"/>
      <color theme="1"/>
      <name val="Arial"/>
      <family val="2"/>
    </font>
    <font>
      <b/>
      <sz val="16"/>
      <color theme="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5" tint="0.39997558519241921"/>
        <bgColor rgb="FF50596C"/>
      </patternFill>
    </fill>
    <fill>
      <patternFill patternType="solid">
        <fgColor theme="5" tint="0.39997558519241921"/>
        <bgColor indexed="64"/>
      </patternFill>
    </fill>
    <fill>
      <patternFill patternType="solid">
        <fgColor theme="5" tint="0.59999389629810485"/>
        <bgColor indexed="64"/>
      </patternFill>
    </fill>
  </fills>
  <borders count="12">
    <border>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medium">
        <color indexed="64"/>
      </top>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0" fontId="4" fillId="0" borderId="0" xfId="0" applyFont="1"/>
    <xf numFmtId="0" fontId="3" fillId="0" borderId="0" xfId="0" applyFont="1"/>
    <xf numFmtId="9" fontId="0" fillId="0" borderId="0" xfId="0" applyNumberFormat="1"/>
    <xf numFmtId="2" fontId="0" fillId="0" borderId="0" xfId="0" applyNumberFormat="1"/>
    <xf numFmtId="1" fontId="0" fillId="0" borderId="0" xfId="0" applyNumberFormat="1"/>
    <xf numFmtId="0" fontId="5" fillId="0" borderId="0" xfId="0" applyFont="1"/>
    <xf numFmtId="0" fontId="0" fillId="0" borderId="0" xfId="0" applyBorder="1"/>
    <xf numFmtId="0" fontId="3" fillId="0" borderId="0" xfId="0" applyFont="1" applyBorder="1"/>
    <xf numFmtId="9" fontId="0" fillId="0" borderId="0" xfId="1" applyFont="1"/>
    <xf numFmtId="0" fontId="0" fillId="0" borderId="3" xfId="0" applyBorder="1"/>
    <xf numFmtId="0" fontId="0" fillId="2" borderId="0" xfId="0" applyFill="1"/>
    <xf numFmtId="0" fontId="5" fillId="2" borderId="0" xfId="0" applyFont="1" applyFill="1"/>
    <xf numFmtId="171" fontId="0" fillId="0" borderId="0" xfId="1" applyNumberFormat="1" applyFont="1"/>
    <xf numFmtId="171" fontId="0" fillId="0" borderId="0" xfId="0" applyNumberFormat="1"/>
    <xf numFmtId="0" fontId="0" fillId="0" borderId="3" xfId="0" applyFill="1" applyBorder="1"/>
    <xf numFmtId="0" fontId="0" fillId="0" borderId="0" xfId="0" applyAlignment="1">
      <alignment horizontal="center" vertical="center" wrapText="1"/>
    </xf>
    <xf numFmtId="9" fontId="0" fillId="0" borderId="0" xfId="1" applyFont="1" applyBorder="1"/>
    <xf numFmtId="0" fontId="0" fillId="0" borderId="4" xfId="0" applyBorder="1"/>
    <xf numFmtId="9" fontId="0" fillId="0" borderId="4" xfId="1" applyFont="1" applyBorder="1"/>
    <xf numFmtId="0" fontId="7" fillId="0" borderId="0" xfId="0" applyFont="1"/>
    <xf numFmtId="0" fontId="0" fillId="0" borderId="3" xfId="0" applyFont="1" applyBorder="1"/>
    <xf numFmtId="0" fontId="0" fillId="0" borderId="0" xfId="0" applyFont="1"/>
    <xf numFmtId="0" fontId="0" fillId="2" borderId="0" xfId="0" applyFont="1" applyFill="1"/>
    <xf numFmtId="10" fontId="0" fillId="0" borderId="0" xfId="0" applyNumberFormat="1"/>
    <xf numFmtId="10" fontId="0" fillId="0" borderId="0" xfId="1" applyNumberFormat="1" applyFont="1"/>
    <xf numFmtId="2" fontId="0" fillId="0" borderId="0" xfId="1" applyNumberFormat="1" applyFont="1"/>
    <xf numFmtId="0" fontId="8" fillId="0" borderId="0" xfId="0" applyFont="1"/>
    <xf numFmtId="0" fontId="0" fillId="0" borderId="0" xfId="0" applyFill="1"/>
    <xf numFmtId="0" fontId="0" fillId="0" borderId="6" xfId="0" applyBorder="1"/>
    <xf numFmtId="10" fontId="0" fillId="0" borderId="0" xfId="0" applyNumberFormat="1" applyBorder="1"/>
    <xf numFmtId="0" fontId="0" fillId="0" borderId="7" xfId="0" applyBorder="1"/>
    <xf numFmtId="2" fontId="0" fillId="0" borderId="0" xfId="0" applyNumberFormat="1" applyBorder="1"/>
    <xf numFmtId="10" fontId="0" fillId="0" borderId="0" xfId="1" applyNumberFormat="1" applyFont="1" applyBorder="1"/>
    <xf numFmtId="9" fontId="0" fillId="0" borderId="0" xfId="0" applyNumberFormat="1" applyBorder="1"/>
    <xf numFmtId="0" fontId="0" fillId="0" borderId="7" xfId="0" applyBorder="1" applyAlignment="1">
      <alignment wrapText="1"/>
    </xf>
    <xf numFmtId="0" fontId="0" fillId="0" borderId="8" xfId="0" applyBorder="1"/>
    <xf numFmtId="2" fontId="0" fillId="0" borderId="4" xfId="0" applyNumberFormat="1" applyBorder="1"/>
    <xf numFmtId="0" fontId="9" fillId="0" borderId="0" xfId="0" applyFont="1"/>
    <xf numFmtId="173" fontId="0" fillId="0" borderId="0" xfId="1" applyNumberFormat="1" applyFont="1"/>
    <xf numFmtId="0" fontId="0" fillId="0" borderId="3" xfId="0" applyFont="1" applyBorder="1" applyAlignment="1">
      <alignment horizontal="right"/>
    </xf>
    <xf numFmtId="0" fontId="0" fillId="0" borderId="3" xfId="0" applyFont="1" applyFill="1" applyBorder="1" applyAlignment="1">
      <alignment horizontal="right"/>
    </xf>
    <xf numFmtId="0" fontId="0" fillId="0" borderId="3" xfId="0" applyBorder="1" applyAlignment="1">
      <alignment horizontal="right"/>
    </xf>
    <xf numFmtId="0" fontId="6" fillId="2" borderId="0" xfId="0" applyFont="1" applyFill="1"/>
    <xf numFmtId="0" fontId="6" fillId="2" borderId="5" xfId="0" applyFont="1" applyFill="1" applyBorder="1"/>
    <xf numFmtId="0" fontId="6" fillId="2" borderId="0" xfId="0" applyFont="1" applyFill="1" applyAlignment="1">
      <alignment horizontal="right"/>
    </xf>
    <xf numFmtId="17" fontId="6" fillId="2" borderId="0" xfId="0" applyNumberFormat="1" applyFont="1" applyFill="1" applyAlignment="1">
      <alignment horizontal="right"/>
    </xf>
    <xf numFmtId="0" fontId="2" fillId="0" borderId="0" xfId="0" applyFont="1" applyFill="1"/>
    <xf numFmtId="0" fontId="5" fillId="2" borderId="0" xfId="0" applyFont="1" applyFill="1" applyBorder="1"/>
    <xf numFmtId="0" fontId="11" fillId="0" borderId="0" xfId="0" applyFont="1"/>
    <xf numFmtId="10" fontId="11" fillId="0" borderId="0" xfId="0" applyNumberFormat="1" applyFont="1"/>
    <xf numFmtId="0" fontId="10" fillId="0" borderId="10" xfId="0" applyFont="1" applyFill="1" applyBorder="1" applyAlignment="1">
      <alignment horizontal="center" vertical="top"/>
    </xf>
    <xf numFmtId="0" fontId="0" fillId="0" borderId="0" xfId="1" applyNumberFormat="1" applyFont="1"/>
    <xf numFmtId="9" fontId="0" fillId="0" borderId="9" xfId="0" applyNumberFormat="1" applyBorder="1"/>
    <xf numFmtId="0" fontId="0" fillId="0" borderId="0" xfId="0" applyFont="1" applyBorder="1"/>
    <xf numFmtId="2" fontId="0" fillId="0" borderId="0" xfId="1" applyNumberFormat="1" applyFont="1" applyBorder="1"/>
    <xf numFmtId="1" fontId="8" fillId="0" borderId="0" xfId="0" applyNumberFormat="1" applyFont="1"/>
    <xf numFmtId="0" fontId="0" fillId="0" borderId="0" xfId="0" applyBorder="1" applyAlignment="1"/>
    <xf numFmtId="0" fontId="0" fillId="0" borderId="11" xfId="0" applyBorder="1" applyAlignment="1">
      <alignment horizontal="center" vertical="center" wrapText="1"/>
    </xf>
    <xf numFmtId="0" fontId="6" fillId="2" borderId="0" xfId="0" applyFont="1" applyFill="1" applyAlignment="1">
      <alignment horizontal="left" vertical="top"/>
    </xf>
    <xf numFmtId="0" fontId="10" fillId="0" borderId="1" xfId="0" applyFont="1" applyBorder="1" applyAlignment="1">
      <alignment horizontal="center" vertical="top"/>
    </xf>
    <xf numFmtId="0" fontId="10" fillId="0" borderId="9" xfId="0" applyFont="1" applyBorder="1" applyAlignment="1">
      <alignment horizontal="center" vertical="top"/>
    </xf>
    <xf numFmtId="0" fontId="10" fillId="0" borderId="2" xfId="0" applyFont="1" applyBorder="1" applyAlignment="1">
      <alignment horizontal="center" vertical="top"/>
    </xf>
    <xf numFmtId="10" fontId="12" fillId="0" borderId="0" xfId="0" applyNumberFormat="1" applyFont="1"/>
    <xf numFmtId="9" fontId="3" fillId="0" borderId="0" xfId="0" applyNumberFormat="1" applyFont="1"/>
    <xf numFmtId="0" fontId="13" fillId="3" borderId="0" xfId="0" applyFont="1" applyFill="1" applyAlignment="1">
      <alignment horizontal="center"/>
    </xf>
    <xf numFmtId="0" fontId="3" fillId="4" borderId="0" xfId="0" applyFont="1" applyFill="1"/>
    <xf numFmtId="0" fontId="3" fillId="0" borderId="0" xfId="0" applyFont="1" applyFill="1"/>
    <xf numFmtId="0" fontId="3" fillId="4" borderId="0" xfId="0" applyFont="1" applyFill="1" applyAlignment="1">
      <alignment vertical="center" wrapText="1"/>
    </xf>
    <xf numFmtId="0" fontId="3" fillId="6" borderId="0" xfId="0" applyFont="1" applyFill="1"/>
    <xf numFmtId="0" fontId="5" fillId="0" borderId="0" xfId="0" applyFont="1" applyFill="1"/>
    <xf numFmtId="1" fontId="0" fillId="0" borderId="0" xfId="0" applyNumberFormat="1" applyFont="1"/>
    <xf numFmtId="0" fontId="0" fillId="4" borderId="0" xfId="0" applyFont="1" applyFill="1"/>
    <xf numFmtId="183" fontId="0" fillId="0" borderId="0" xfId="0" applyNumberFormat="1" applyFont="1" applyProtection="1">
      <protection locked="0" hidden="1"/>
    </xf>
    <xf numFmtId="0" fontId="0" fillId="0" borderId="0" xfId="0" applyFont="1" applyAlignment="1">
      <alignment wrapText="1"/>
    </xf>
    <xf numFmtId="184" fontId="10" fillId="5" borderId="0" xfId="0" applyNumberFormat="1" applyFont="1" applyFill="1" applyAlignment="1">
      <alignment horizontal="left" vertical="center"/>
    </xf>
    <xf numFmtId="9" fontId="0" fillId="0" borderId="0" xfId="0" applyNumberFormat="1" applyFont="1"/>
    <xf numFmtId="2" fontId="0" fillId="0" borderId="0" xfId="0" applyNumberFormat="1" applyFont="1"/>
    <xf numFmtId="0" fontId="0" fillId="7" borderId="0" xfId="0" applyFont="1" applyFill="1"/>
    <xf numFmtId="0" fontId="0" fillId="0" borderId="0" xfId="0" applyFont="1" applyFill="1" applyAlignment="1">
      <alignment wrapText="1"/>
    </xf>
    <xf numFmtId="0" fontId="0" fillId="0" borderId="0" xfId="0" applyFont="1" applyFill="1"/>
    <xf numFmtId="184" fontId="10" fillId="0" borderId="0" xfId="0" applyNumberFormat="1" applyFont="1" applyFill="1" applyAlignment="1">
      <alignment horizontal="left" vertical="center"/>
    </xf>
    <xf numFmtId="9" fontId="0" fillId="0" borderId="0" xfId="0" applyNumberFormat="1" applyFont="1" applyFill="1"/>
    <xf numFmtId="2" fontId="0" fillId="0" borderId="0" xfId="0" applyNumberFormat="1" applyFont="1" applyFill="1"/>
    <xf numFmtId="0" fontId="3" fillId="7" borderId="0" xfId="0" applyFont="1" applyFill="1"/>
    <xf numFmtId="0" fontId="0" fillId="0" borderId="0" xfId="0" applyFont="1" applyAlignment="1">
      <alignment vertical="top" wrapText="1"/>
    </xf>
  </cellXfs>
  <cellStyles count="2">
    <cellStyle name="Normal" xfId="0" builtinId="0"/>
    <cellStyle name="Pourcentage" xfId="1" builtinId="5"/>
  </cellStyles>
  <dxfs count="9">
    <dxf>
      <font>
        <b/>
        <i val="0"/>
      </font>
      <fill>
        <patternFill>
          <bgColor theme="0" tint="-0.14996795556505021"/>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0"/>
        <color theme="1"/>
        <name val="Arial"/>
        <family val="2"/>
        <scheme val="none"/>
      </font>
      <numFmt numFmtId="14" formatCode="0.0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rder>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2" xr16:uid="{53DB7980-79E7-004C-9BA8-ED1269C6C4BA}" autoFormatId="16" applyNumberFormats="0" applyBorderFormats="0" applyFontFormats="0" applyPatternFormats="0" applyAlignmentFormats="0" applyWidthHeightFormats="0">
  <queryTableRefresh nextId="28">
    <queryTableFields count="27">
      <queryTableField id="1" name="Mois" tableColumnId="1"/>
      <queryTableField id="2" name="New Users" tableColumnId="2"/>
      <queryTableField id="3" name="CAC" tableColumnId="3"/>
      <queryTableField id="4" name="Marketing Spend" tableColumnId="4"/>
      <queryTableField id="5" name="Paid Users" tableColumnId="5"/>
      <queryTableField id="6" name="Organic Users" tableColumnId="6"/>
      <queryTableField id="7" name="Active Users" tableColumnId="7"/>
      <queryTableField id="8" name="Churn %" tableColumnId="8"/>
      <queryTableField id="9" name="GMV" tableColumnId="9"/>
      <queryTableField id="10" name="BNPL Tx" tableColumnId="10"/>
      <queryTableField id="11" name="Revenue" tableColumnId="11"/>
      <queryTableField id="12" name="Merchant Fees" tableColumnId="12"/>
      <queryTableField id="13" name="Late Fees" tableColumnId="13"/>
      <queryTableField id="14" name="Interchange" tableColumnId="14"/>
      <queryTableField id="15" name="Cost of Funds" tableColumnId="15"/>
      <queryTableField id="16" name="Bad Debt" tableColumnId="16"/>
      <queryTableField id="17" name="Salaries" tableColumnId="17"/>
      <queryTableField id="18" name="Tech &amp; Cloud" tableColumnId="18"/>
      <queryTableField id="19" name="Compliance" tableColumnId="19"/>
      <queryTableField id="20" name="G&amp;A" tableColumnId="20"/>
      <queryTableField id="21" name="ARPU" tableColumnId="21"/>
      <queryTableField id="22" name="GM %" tableColumnId="22"/>
      <queryTableField id="23" name="CM %" tableColumnId="23"/>
      <queryTableField id="24" name="LT" tableColumnId="24"/>
      <queryTableField id="25" name="LTV" tableColumnId="25"/>
      <queryTableField id="26" name="Take rate" tableColumnId="26"/>
      <queryTableField id="27" name="Payback period" tableColumnId="2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1173C7-3CDF-2040-87E8-F722266705B3}" name="Table" displayName="Table" ref="A2:AA38" tableType="queryTable" totalsRowShown="0">
  <autoFilter ref="A2:AA38" xr:uid="{101173C7-3CDF-2040-87E8-F722266705B3}"/>
  <tableColumns count="27">
    <tableColumn id="1" xr3:uid="{C1F7AC32-F913-9147-B680-E635C59BA641}" uniqueName="1" name="Mois" queryTableFieldId="1"/>
    <tableColumn id="2" xr3:uid="{451B526E-3A5D-E342-B3F9-A478E2C18BDA}" uniqueName="2" name="New Users" queryTableFieldId="2"/>
    <tableColumn id="3" xr3:uid="{25E105D7-31B8-C44E-9B97-999BE0680DC2}" uniqueName="3" name="CAC" queryTableFieldId="3"/>
    <tableColumn id="4" xr3:uid="{8F644879-1544-EA4B-A24E-A2264529CB25}" uniqueName="4" name="Marketing Spend" queryTableFieldId="4"/>
    <tableColumn id="5" xr3:uid="{3F93029B-F574-7345-BC0B-FCDD883BF36D}" uniqueName="5" name="Paid Users" queryTableFieldId="5"/>
    <tableColumn id="6" xr3:uid="{B540DD9A-4C9A-5D42-912A-920D6374ED1C}" uniqueName="6" name="Organic Users" queryTableFieldId="6"/>
    <tableColumn id="7" xr3:uid="{04AAB87C-3E73-504E-8EEF-A53B0BD9BBAC}" uniqueName="7" name="Active Users" queryTableFieldId="7"/>
    <tableColumn id="8" xr3:uid="{0E02852F-25C0-CA4F-B7E8-8B386C3B5B02}" uniqueName="8" name="Churn %" queryTableFieldId="8"/>
    <tableColumn id="9" xr3:uid="{E50F7560-E21E-AE4B-9374-40A0FB7E4D31}" uniqueName="9" name="GMV" queryTableFieldId="9"/>
    <tableColumn id="10" xr3:uid="{45CE4F17-D7F4-AA49-8594-77115F5623A0}" uniqueName="10" name="BNPL Tx" queryTableFieldId="10"/>
    <tableColumn id="11" xr3:uid="{1A3E0B63-60A0-FF4E-B0FA-AE947E3B94AE}" uniqueName="11" name="Revenue" queryTableFieldId="11"/>
    <tableColumn id="12" xr3:uid="{67297882-62DB-694B-8E2A-9071E5450865}" uniqueName="12" name="Merchant Fees" queryTableFieldId="12"/>
    <tableColumn id="13" xr3:uid="{6157B5CB-C6E0-9744-ADB5-88C69ECF4B38}" uniqueName="13" name="Late Fees" queryTableFieldId="13"/>
    <tableColumn id="14" xr3:uid="{6CE632DA-7AAB-684D-84D6-90FAEA1F1E11}" uniqueName="14" name="Interchange" queryTableFieldId="14"/>
    <tableColumn id="15" xr3:uid="{C545D235-6C81-5243-B95B-7292AB658F0B}" uniqueName="15" name="Cost of Funds" queryTableFieldId="15"/>
    <tableColumn id="16" xr3:uid="{DE329C72-9D6A-F84B-A3FF-2E57E9D688F9}" uniqueName="16" name="Bad Debt" queryTableFieldId="16"/>
    <tableColumn id="17" xr3:uid="{56C411D5-00D5-334D-ACBD-8A6BF1460593}" uniqueName="17" name="Salaries" queryTableFieldId="17"/>
    <tableColumn id="18" xr3:uid="{D2A35A3B-002F-0942-AA23-5CC2382819A5}" uniqueName="18" name="Tech &amp; Cloud" queryTableFieldId="18"/>
    <tableColumn id="19" xr3:uid="{E9CCA427-E02F-5542-8AC9-8D1F59AB2ABA}" uniqueName="19" name="Compliance" queryTableFieldId="19"/>
    <tableColumn id="20" xr3:uid="{5B15D328-6981-9E4E-9797-1894F0B33D6E}" uniqueName="20" name="G&amp;A" queryTableFieldId="20"/>
    <tableColumn id="21" xr3:uid="{A5D3323C-D36C-5948-A350-366EAE49715F}" uniqueName="21" name="ARPU" queryTableFieldId="21"/>
    <tableColumn id="22" xr3:uid="{52039F83-6AA1-5942-8932-12A375DB1996}" uniqueName="22" name="GM %" queryTableFieldId="22"/>
    <tableColumn id="23" xr3:uid="{B50428A2-F1C9-6B40-92D3-C91328519978}" uniqueName="23" name="CM %" queryTableFieldId="23"/>
    <tableColumn id="24" xr3:uid="{F9C0C628-C132-FC40-A7FA-B53882B68C99}" uniqueName="24" name="LT" queryTableFieldId="24"/>
    <tableColumn id="25" xr3:uid="{86DA458B-8B7B-8040-A4BC-EFD0650BBB97}" uniqueName="25" name="LTV" queryTableFieldId="25"/>
    <tableColumn id="26" xr3:uid="{109462C5-2F01-DF47-BAA4-F81DF0129915}" uniqueName="26" name="Take rate" queryTableFieldId="26"/>
    <tableColumn id="27" xr3:uid="{E08ED2D4-50F0-3849-BC82-15294DE07EB5}" uniqueName="27" name="Payback period"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849B8E-C2C1-EB42-A11B-3BFBD418A051}" name="Tableau7" displayName="Tableau7" ref="A1:AL37" totalsRowShown="0" headerRowDxfId="4" headerRowBorderDxfId="6" tableBorderDxfId="7">
  <autoFilter ref="A1:AL37" xr:uid="{17849B8E-C2C1-EB42-A11B-3BFBD418A0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autoFilter>
  <tableColumns count="38">
    <tableColumn id="1" xr3:uid="{B6BB5A83-6645-0A4B-8BD5-9B439C16E9C1}" name="Cohort" dataDxfId="5"/>
    <tableColumn id="2" xr3:uid="{14841956-D73E-1848-8879-BD7B74011C86}" name="New users_start"/>
    <tableColumn id="3" xr3:uid="{DDAA585F-F84A-7548-8205-5826D4FDBD31}" name="End M1"/>
    <tableColumn id="4" xr3:uid="{4599057F-859F-4D45-8ADC-75C86D78B6C1}" name="EndM2"/>
    <tableColumn id="5" xr3:uid="{78382BA9-3FE4-2B45-ADD4-A4E0501385E4}" name="M3"/>
    <tableColumn id="6" xr3:uid="{3D93B772-191E-D043-8B92-99967CCD1D71}" name="M4"/>
    <tableColumn id="7" xr3:uid="{0E56BFFA-A8C5-7F4D-88B3-ACA3A13001D2}" name="M5"/>
    <tableColumn id="8" xr3:uid="{D5FA167A-7890-4A43-97E1-6A4CD1F47A65}" name="M6"/>
    <tableColumn id="9" xr3:uid="{95C3756C-50CB-0544-87A1-7836290ACC8D}" name="M7"/>
    <tableColumn id="10" xr3:uid="{D0C9203E-F455-C04A-A769-E66F4D85D0CF}" name="M8"/>
    <tableColumn id="11" xr3:uid="{C1BA6E35-0EA4-874C-B305-9D96AC926307}" name="M9"/>
    <tableColumn id="12" xr3:uid="{AB609B91-D432-5742-8712-A49EC2417466}" name="M10"/>
    <tableColumn id="13" xr3:uid="{CE793A8D-267D-E945-8241-9A0AF668E5C4}" name="M11"/>
    <tableColumn id="14" xr3:uid="{06DC8508-6081-2844-B1FC-B26D67D3AC1D}" name="M12"/>
    <tableColumn id="15" xr3:uid="{6E4161A1-8EB9-774E-B779-00D6827067D5}" name="M13"/>
    <tableColumn id="16" xr3:uid="{BEA90427-76B6-584B-A530-8D984D5E2F84}" name="M14"/>
    <tableColumn id="17" xr3:uid="{924AAAC4-157D-6540-9356-3F17B44D4B78}" name="M15"/>
    <tableColumn id="18" xr3:uid="{15B11C90-4760-EF4A-93F6-B5D3D0D55B5F}" name="M16"/>
    <tableColumn id="19" xr3:uid="{2B3649DC-042F-AF42-801F-854E9A1BDA8A}" name="M17"/>
    <tableColumn id="20" xr3:uid="{809AC916-A657-8943-974E-56486137D1A1}" name="M18"/>
    <tableColumn id="21" xr3:uid="{08736A94-387C-FE41-ACA7-1E750D6C9AA8}" name="M19"/>
    <tableColumn id="22" xr3:uid="{6F4486E2-4060-C04A-8FDC-82EEA1563564}" name="M20"/>
    <tableColumn id="23" xr3:uid="{A366B78C-0E52-044F-9F8E-A50E7782D523}" name="M21"/>
    <tableColumn id="24" xr3:uid="{E0395100-102E-0842-BAE8-D214C03D0701}" name="M22"/>
    <tableColumn id="25" xr3:uid="{FF7F5854-0A7F-AD4A-AB26-9E5D52569D88}" name="M23"/>
    <tableColumn id="26" xr3:uid="{B0873812-03D7-FD4D-8C28-CD6B195EBBB8}" name="M24"/>
    <tableColumn id="27" xr3:uid="{442C71EE-FA0D-544A-A87C-74E9E1B7E463}" name="M25"/>
    <tableColumn id="28" xr3:uid="{432EB108-FCC1-FE40-8430-238E7B89AAE7}" name="M26"/>
    <tableColumn id="29" xr3:uid="{A7996894-24C8-F348-A287-D045D44C0BF8}" name="M27"/>
    <tableColumn id="30" xr3:uid="{9106C383-0069-0E4F-A019-2B7F40A4EEDA}" name="M28"/>
    <tableColumn id="31" xr3:uid="{3FEBA6A9-47A2-054F-8D26-95DEE89E2F99}" name="M29"/>
    <tableColumn id="32" xr3:uid="{D2CD2AA1-CA95-694F-B400-1C6F2ABAAE21}" name="M30"/>
    <tableColumn id="33" xr3:uid="{C84C7D44-3804-314C-91A7-CFED82B4697E}" name="M31"/>
    <tableColumn id="34" xr3:uid="{463A4AA8-8337-5744-AA7A-793405F2737B}" name="M32"/>
    <tableColumn id="35" xr3:uid="{A4A3942D-90B3-314A-BA2F-9AA073D4F43C}" name="M33"/>
    <tableColumn id="36" xr3:uid="{30442641-C6FE-D04B-96B5-65E8908E077C}" name="M34"/>
    <tableColumn id="37" xr3:uid="{0FA414C7-1D4E-794D-965E-3152E5CE764A}" name="M35"/>
    <tableColumn id="38" xr3:uid="{825BD427-77FD-BE4B-A362-AB0725D91D6F}" name="M36"/>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D37797-1386-664F-9DAB-A467CDFB7DD4}" name="Tableau8" displayName="Tableau8" ref="AM1:AM37" totalsRowShown="0" headerRowDxfId="1" dataDxfId="2">
  <autoFilter ref="AM1:AM37" xr:uid="{2DD37797-1386-664F-9DAB-A467CDFB7DD4}">
    <filterColumn colId="0" hiddenButton="1"/>
  </autoFilter>
  <tableColumns count="1">
    <tableColumn id="1" xr3:uid="{2483F55C-AFAF-8C48-833E-7C854B5D9A3C}" name="Churn mensuel" dataDxfId="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2DB5A0-87B0-2243-8739-3F0432176353}" name="Cochort_Analysis_Finale4" displayName="Cochort_Analysis_Finale4" ref="A4:D40" totalsRowShown="0">
  <autoFilter ref="A4:D40" xr:uid="{7D2DB5A0-87B0-2243-8739-3F0432176353}">
    <filterColumn colId="0" hiddenButton="1"/>
    <filterColumn colId="1" hiddenButton="1"/>
    <filterColumn colId="2" hiddenButton="1"/>
    <filterColumn colId="3" hiddenButton="1"/>
  </autoFilter>
  <tableColumns count="4">
    <tableColumn id="1" xr3:uid="{48BB2165-A152-7442-B808-E379BCCF1484}" name="Cohorte" dataDxfId="8"/>
    <tableColumn id="2" xr3:uid="{591D7C02-D311-BE43-98F8-83EEF639E4D6}" name="New users_start"/>
    <tableColumn id="3" xr3:uid="{BC6B5C97-C1D6-FA48-932C-D9317915E9FF}" name="Rétention End A1 (M12)"/>
    <tableColumn id="4" xr3:uid="{778340EE-6A77-3A44-9506-E8FCC3D9A4DE}" name="Rétention End A2 (M24)"/>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663E-9BC4-3B41-84A9-6B56839AC31B}">
  <dimension ref="A1:A131"/>
  <sheetViews>
    <sheetView showGridLines="0" tabSelected="1" workbookViewId="0">
      <selection activeCell="F17" sqref="F17"/>
    </sheetView>
  </sheetViews>
  <sheetFormatPr baseColWidth="10" defaultRowHeight="16" x14ac:dyDescent="0.2"/>
  <cols>
    <col min="1" max="1" width="119.5" customWidth="1"/>
  </cols>
  <sheetData>
    <row r="1" spans="1:1" ht="51" x14ac:dyDescent="0.2">
      <c r="A1" s="85" t="s">
        <v>227</v>
      </c>
    </row>
    <row r="3" spans="1:1" ht="24" x14ac:dyDescent="0.3">
      <c r="A3" s="1" t="s">
        <v>209</v>
      </c>
    </row>
    <row r="5" spans="1:1" x14ac:dyDescent="0.2">
      <c r="A5" t="s">
        <v>210</v>
      </c>
    </row>
    <row r="7" spans="1:1" x14ac:dyDescent="0.2">
      <c r="A7" s="2" t="s">
        <v>211</v>
      </c>
    </row>
    <row r="9" spans="1:1" x14ac:dyDescent="0.2">
      <c r="A9" s="2" t="s">
        <v>212</v>
      </c>
    </row>
    <row r="11" spans="1:1" x14ac:dyDescent="0.2">
      <c r="A11" s="2" t="s">
        <v>213</v>
      </c>
    </row>
    <row r="13" spans="1:1" x14ac:dyDescent="0.2">
      <c r="A13" t="s">
        <v>214</v>
      </c>
    </row>
    <row r="15" spans="1:1" ht="24" x14ac:dyDescent="0.3">
      <c r="A15" s="1" t="s">
        <v>215</v>
      </c>
    </row>
    <row r="17" spans="1:1" x14ac:dyDescent="0.2">
      <c r="A17" t="s">
        <v>216</v>
      </c>
    </row>
    <row r="19" spans="1:1" x14ac:dyDescent="0.2">
      <c r="A19" t="s">
        <v>217</v>
      </c>
    </row>
    <row r="21" spans="1:1" x14ac:dyDescent="0.2">
      <c r="A21" t="s">
        <v>218</v>
      </c>
    </row>
    <row r="23" spans="1:1" ht="24" x14ac:dyDescent="0.3">
      <c r="A23" s="1" t="s">
        <v>0</v>
      </c>
    </row>
    <row r="25" spans="1:1" x14ac:dyDescent="0.2">
      <c r="A25" t="s">
        <v>219</v>
      </c>
    </row>
    <row r="27" spans="1:1" x14ac:dyDescent="0.2">
      <c r="A27" s="2" t="s">
        <v>220</v>
      </c>
    </row>
    <row r="29" spans="1:1" x14ac:dyDescent="0.2">
      <c r="A29" t="s">
        <v>221</v>
      </c>
    </row>
    <row r="31" spans="1:1" x14ac:dyDescent="0.2">
      <c r="A31" t="s">
        <v>222</v>
      </c>
    </row>
    <row r="33" spans="1:1" x14ac:dyDescent="0.2">
      <c r="A33" s="2" t="s">
        <v>223</v>
      </c>
    </row>
    <row r="35" spans="1:1" x14ac:dyDescent="0.2">
      <c r="A35" s="2" t="s">
        <v>224</v>
      </c>
    </row>
    <row r="37" spans="1:1" x14ac:dyDescent="0.2">
      <c r="A37" s="2" t="s">
        <v>225</v>
      </c>
    </row>
    <row r="39" spans="1:1" x14ac:dyDescent="0.2">
      <c r="A39" t="s">
        <v>226</v>
      </c>
    </row>
    <row r="43" spans="1:1" ht="24" x14ac:dyDescent="0.3">
      <c r="A43" s="1"/>
    </row>
    <row r="51" spans="1:1" x14ac:dyDescent="0.2">
      <c r="A51" s="2"/>
    </row>
    <row r="53" spans="1:1" x14ac:dyDescent="0.2">
      <c r="A53" s="2"/>
    </row>
    <row r="55" spans="1:1" x14ac:dyDescent="0.2">
      <c r="A55" s="2"/>
    </row>
    <row r="57" spans="1:1" x14ac:dyDescent="0.2">
      <c r="A57" s="2"/>
    </row>
    <row r="59" spans="1:1" x14ac:dyDescent="0.2">
      <c r="A59" s="2"/>
    </row>
    <row r="61" spans="1:1" x14ac:dyDescent="0.2">
      <c r="A61" s="2"/>
    </row>
    <row r="63" spans="1:1" x14ac:dyDescent="0.2">
      <c r="A63" s="2"/>
    </row>
    <row r="67" spans="1:1" ht="24" x14ac:dyDescent="0.3">
      <c r="A67" s="1"/>
    </row>
    <row r="93" spans="1:1" ht="24" x14ac:dyDescent="0.3">
      <c r="A93" s="1"/>
    </row>
    <row r="113" spans="1:1" ht="24" x14ac:dyDescent="0.3">
      <c r="A113" s="1"/>
    </row>
    <row r="121" spans="1:1" x14ac:dyDescent="0.2">
      <c r="A121" s="2"/>
    </row>
    <row r="123" spans="1:1" x14ac:dyDescent="0.2">
      <c r="A123" s="2"/>
    </row>
    <row r="125" spans="1:1" x14ac:dyDescent="0.2">
      <c r="A125" s="2"/>
    </row>
    <row r="131" spans="1:1" ht="24" x14ac:dyDescent="0.3">
      <c r="A1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0E69-B897-1741-A400-3DD580C7FAF4}">
  <sheetPr>
    <tabColor rgb="FFFFC000"/>
  </sheetPr>
  <dimension ref="A1:AA66"/>
  <sheetViews>
    <sheetView showGridLines="0" zoomScale="106" workbookViewId="0">
      <pane ySplit="2" topLeftCell="A3" activePane="bottomLeft" state="frozen"/>
      <selection pane="bottomLeft" activeCell="G30" sqref="G30"/>
    </sheetView>
  </sheetViews>
  <sheetFormatPr baseColWidth="10" defaultRowHeight="16" x14ac:dyDescent="0.2"/>
  <cols>
    <col min="1" max="1" width="7.6640625" bestFit="1" customWidth="1"/>
    <col min="2" max="2" width="12.6640625" bestFit="1" customWidth="1"/>
    <col min="3" max="3" width="8.6640625" bestFit="1" customWidth="1"/>
    <col min="4" max="4" width="17.6640625" bestFit="1" customWidth="1"/>
    <col min="5" max="5" width="12.33203125" bestFit="1" customWidth="1"/>
    <col min="6" max="6" width="15.1640625" bestFit="1" customWidth="1"/>
    <col min="7" max="7" width="22.1640625" customWidth="1"/>
    <col min="8" max="8" width="21.6640625" customWidth="1"/>
    <col min="9" max="9" width="17.33203125" customWidth="1"/>
    <col min="10" max="10" width="13.1640625" bestFit="1" customWidth="1"/>
    <col min="12" max="12" width="15.83203125" bestFit="1" customWidth="1"/>
    <col min="13" max="13" width="11.5" bestFit="1" customWidth="1"/>
    <col min="14" max="14" width="13.33203125" bestFit="1" customWidth="1"/>
    <col min="15" max="15" width="14.6640625" bestFit="1" customWidth="1"/>
    <col min="16" max="16" width="11.33203125" bestFit="1" customWidth="1"/>
    <col min="17" max="17" width="10.1640625" bestFit="1" customWidth="1"/>
    <col min="18" max="18" width="14.33203125" bestFit="1" customWidth="1"/>
    <col min="19" max="19" width="13.1640625" bestFit="1" customWidth="1"/>
    <col min="20" max="20" width="7.5" bestFit="1" customWidth="1"/>
    <col min="21" max="21" width="8.33203125" bestFit="1" customWidth="1"/>
    <col min="22" max="22" width="8.6640625" bestFit="1" customWidth="1"/>
    <col min="23" max="23" width="8.33203125" bestFit="1" customWidth="1"/>
    <col min="24" max="24" width="12.1640625" bestFit="1" customWidth="1"/>
    <col min="25" max="26" width="12.1640625" customWidth="1"/>
    <col min="27" max="27" width="16.1640625" bestFit="1" customWidth="1"/>
  </cols>
  <sheetData>
    <row r="1" spans="1:27" x14ac:dyDescent="0.2">
      <c r="A1" s="2" t="s">
        <v>228</v>
      </c>
    </row>
    <row r="2" spans="1:27" x14ac:dyDescent="0.2">
      <c r="A2" s="7"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7" t="s">
        <v>20</v>
      </c>
      <c r="T2" s="7" t="s">
        <v>21</v>
      </c>
      <c r="U2" s="7" t="s">
        <v>22</v>
      </c>
      <c r="V2" s="7" t="s">
        <v>23</v>
      </c>
      <c r="W2" s="7" t="s">
        <v>24</v>
      </c>
      <c r="X2" s="7" t="s">
        <v>64</v>
      </c>
      <c r="Y2" s="7" t="s">
        <v>65</v>
      </c>
      <c r="Z2" s="7" t="s">
        <v>67</v>
      </c>
      <c r="AA2" s="7" t="s">
        <v>68</v>
      </c>
    </row>
    <row r="3" spans="1:27" x14ac:dyDescent="0.2">
      <c r="A3" s="7">
        <v>1</v>
      </c>
      <c r="B3" s="7">
        <v>950</v>
      </c>
      <c r="C3" s="7">
        <v>65</v>
      </c>
      <c r="D3" s="7">
        <v>62000</v>
      </c>
      <c r="E3" s="7">
        <v>670</v>
      </c>
      <c r="F3" s="7">
        <v>280</v>
      </c>
      <c r="G3" s="7">
        <v>950</v>
      </c>
      <c r="H3" s="7">
        <v>0.06</v>
      </c>
      <c r="I3" s="7">
        <v>1150000</v>
      </c>
      <c r="J3" s="7">
        <v>1050</v>
      </c>
      <c r="K3" s="7">
        <v>41000</v>
      </c>
      <c r="L3" s="7">
        <v>34000</v>
      </c>
      <c r="M3" s="7">
        <v>3800</v>
      </c>
      <c r="N3" s="7">
        <v>2800</v>
      </c>
      <c r="O3" s="7">
        <v>13000</v>
      </c>
      <c r="P3" s="7">
        <v>1200</v>
      </c>
      <c r="Q3" s="7">
        <v>38000</v>
      </c>
      <c r="R3" s="7">
        <v>9000</v>
      </c>
      <c r="S3" s="7">
        <v>5200</v>
      </c>
      <c r="T3" s="7">
        <v>7800</v>
      </c>
      <c r="U3" s="7">
        <v>43</v>
      </c>
      <c r="V3" s="7">
        <v>0.74</v>
      </c>
      <c r="W3" s="7">
        <v>0.63</v>
      </c>
      <c r="X3" s="7">
        <v>16.666666666666668</v>
      </c>
      <c r="Y3" s="7">
        <v>530.33333333333337</v>
      </c>
      <c r="Z3" s="7">
        <v>3.5652173913043497E-2</v>
      </c>
      <c r="AA3" s="7">
        <v>2.042740414833438</v>
      </c>
    </row>
    <row r="4" spans="1:27" x14ac:dyDescent="0.2">
      <c r="A4" s="7">
        <v>2</v>
      </c>
      <c r="B4" s="7">
        <v>1020</v>
      </c>
      <c r="C4" s="7">
        <v>60</v>
      </c>
      <c r="D4" s="7">
        <v>61000</v>
      </c>
      <c r="E4" s="7">
        <v>700</v>
      </c>
      <c r="F4" s="7">
        <v>320</v>
      </c>
      <c r="G4" s="7">
        <v>970</v>
      </c>
      <c r="H4" s="7">
        <v>5.5E-2</v>
      </c>
      <c r="I4" s="7">
        <v>1220000</v>
      </c>
      <c r="J4" s="7">
        <v>1100</v>
      </c>
      <c r="K4" s="7">
        <v>43500</v>
      </c>
      <c r="L4" s="7">
        <v>36000</v>
      </c>
      <c r="M4" s="7">
        <v>4200</v>
      </c>
      <c r="N4" s="7">
        <v>3300</v>
      </c>
      <c r="O4" s="7">
        <v>12800</v>
      </c>
      <c r="P4" s="7">
        <v>1250</v>
      </c>
      <c r="Q4" s="7">
        <v>39000</v>
      </c>
      <c r="R4" s="7">
        <v>9200</v>
      </c>
      <c r="S4" s="7">
        <v>5100</v>
      </c>
      <c r="T4" s="7">
        <v>8000</v>
      </c>
      <c r="U4" s="7">
        <v>45</v>
      </c>
      <c r="V4" s="7">
        <v>0.75</v>
      </c>
      <c r="W4" s="7">
        <v>0.64</v>
      </c>
      <c r="X4" s="7">
        <v>18.181818181818183</v>
      </c>
      <c r="Y4" s="7">
        <v>613.63636363636374</v>
      </c>
      <c r="Z4" s="7">
        <v>3.5655737704917999E-2</v>
      </c>
      <c r="AA4" s="7">
        <v>1.7777777777777777</v>
      </c>
    </row>
    <row r="5" spans="1:27" x14ac:dyDescent="0.2">
      <c r="A5" s="7">
        <v>3</v>
      </c>
      <c r="B5" s="7">
        <v>1080</v>
      </c>
      <c r="C5" s="7">
        <v>58</v>
      </c>
      <c r="D5" s="7">
        <v>63000</v>
      </c>
      <c r="E5" s="7">
        <v>730</v>
      </c>
      <c r="F5" s="7">
        <v>350</v>
      </c>
      <c r="G5" s="7">
        <v>1000</v>
      </c>
      <c r="H5" s="7">
        <v>5.1999999999999998E-2</v>
      </c>
      <c r="I5" s="7">
        <v>1290000</v>
      </c>
      <c r="J5" s="7">
        <v>1150</v>
      </c>
      <c r="K5" s="7">
        <v>45600</v>
      </c>
      <c r="L5" s="7">
        <v>37500</v>
      </c>
      <c r="M5" s="7">
        <v>4400</v>
      </c>
      <c r="N5" s="7">
        <v>3600</v>
      </c>
      <c r="O5" s="7">
        <v>12900</v>
      </c>
      <c r="P5" s="7">
        <v>1350</v>
      </c>
      <c r="Q5" s="7">
        <v>40000</v>
      </c>
      <c r="R5" s="7">
        <v>9500</v>
      </c>
      <c r="S5" s="7">
        <v>5000</v>
      </c>
      <c r="T5" s="7">
        <v>8300</v>
      </c>
      <c r="U5" s="7">
        <v>46</v>
      </c>
      <c r="V5" s="7">
        <v>0.75</v>
      </c>
      <c r="W5" s="7">
        <v>0.65</v>
      </c>
      <c r="X5" s="7">
        <v>19.23076923076923</v>
      </c>
      <c r="Y5" s="7">
        <v>663.46153846153834</v>
      </c>
      <c r="Z5" s="7">
        <v>3.5348837209302299E-2</v>
      </c>
      <c r="AA5" s="7">
        <v>1.681159420289855</v>
      </c>
    </row>
    <row r="6" spans="1:27" x14ac:dyDescent="0.2">
      <c r="A6" s="7">
        <v>4</v>
      </c>
      <c r="B6" s="7">
        <v>1120</v>
      </c>
      <c r="C6" s="7">
        <v>62</v>
      </c>
      <c r="D6" s="7">
        <v>70000</v>
      </c>
      <c r="E6" s="7">
        <v>750</v>
      </c>
      <c r="F6" s="7">
        <v>370</v>
      </c>
      <c r="G6" s="7">
        <v>1015</v>
      </c>
      <c r="H6" s="7">
        <v>5.8000000000000003E-2</v>
      </c>
      <c r="I6" s="7">
        <v>1315000</v>
      </c>
      <c r="J6" s="7">
        <v>1180</v>
      </c>
      <c r="K6" s="7">
        <v>47000</v>
      </c>
      <c r="L6" s="7">
        <v>38500</v>
      </c>
      <c r="M6" s="7">
        <v>4700</v>
      </c>
      <c r="N6" s="7">
        <v>3800</v>
      </c>
      <c r="O6" s="7">
        <v>13500</v>
      </c>
      <c r="P6" s="7">
        <v>1400</v>
      </c>
      <c r="Q6" s="7">
        <v>42000</v>
      </c>
      <c r="R6" s="7">
        <v>9800</v>
      </c>
      <c r="S6" s="7">
        <v>5400</v>
      </c>
      <c r="T6" s="7">
        <v>8600</v>
      </c>
      <c r="U6" s="7">
        <v>47</v>
      </c>
      <c r="V6" s="7">
        <v>0.74</v>
      </c>
      <c r="W6" s="7">
        <v>0.64</v>
      </c>
      <c r="X6" s="7">
        <v>17.241379310344826</v>
      </c>
      <c r="Y6" s="7">
        <v>599.65517241379303</v>
      </c>
      <c r="Z6" s="7">
        <v>3.57414448669202E-2</v>
      </c>
      <c r="AA6" s="7">
        <v>1.7826336975273145</v>
      </c>
    </row>
    <row r="7" spans="1:27" x14ac:dyDescent="0.2">
      <c r="A7" s="7">
        <v>5</v>
      </c>
      <c r="B7" s="7">
        <v>1250</v>
      </c>
      <c r="C7" s="7">
        <v>68</v>
      </c>
      <c r="D7" s="7">
        <v>85000</v>
      </c>
      <c r="E7" s="7">
        <v>820</v>
      </c>
      <c r="F7" s="7">
        <v>430</v>
      </c>
      <c r="G7" s="7">
        <v>1100</v>
      </c>
      <c r="H7" s="7">
        <v>6.5000000000000002E-2</v>
      </c>
      <c r="I7" s="7">
        <v>1500000</v>
      </c>
      <c r="J7" s="7">
        <v>1350</v>
      </c>
      <c r="K7" s="7">
        <v>52000</v>
      </c>
      <c r="L7" s="7">
        <v>43000</v>
      </c>
      <c r="M7" s="7">
        <v>5200</v>
      </c>
      <c r="N7" s="7">
        <v>4300</v>
      </c>
      <c r="O7" s="7">
        <v>14000</v>
      </c>
      <c r="P7" s="7">
        <v>2000</v>
      </c>
      <c r="Q7" s="7">
        <v>44000</v>
      </c>
      <c r="R7" s="7">
        <v>10500</v>
      </c>
      <c r="S7" s="7">
        <v>5600</v>
      </c>
      <c r="T7" s="7">
        <v>9200</v>
      </c>
      <c r="U7" s="7">
        <v>47</v>
      </c>
      <c r="V7" s="7">
        <v>0.73</v>
      </c>
      <c r="W7" s="7">
        <v>0.62</v>
      </c>
      <c r="X7" s="7">
        <v>15.384615384615383</v>
      </c>
      <c r="Y7" s="7">
        <v>527.84615384615381</v>
      </c>
      <c r="Z7" s="7">
        <v>3.46666666666667E-2</v>
      </c>
      <c r="AA7" s="7">
        <v>1.9819294666278051</v>
      </c>
    </row>
    <row r="8" spans="1:27" x14ac:dyDescent="0.2">
      <c r="A8" s="7">
        <v>6</v>
      </c>
      <c r="B8" s="7">
        <v>1180</v>
      </c>
      <c r="C8" s="7">
        <v>62</v>
      </c>
      <c r="D8" s="7">
        <v>73000</v>
      </c>
      <c r="E8" s="7">
        <v>780</v>
      </c>
      <c r="F8" s="7">
        <v>400</v>
      </c>
      <c r="G8" s="7">
        <v>1080</v>
      </c>
      <c r="H8" s="7">
        <v>5.6000000000000001E-2</v>
      </c>
      <c r="I8" s="7">
        <v>1450000</v>
      </c>
      <c r="J8" s="7">
        <v>1310</v>
      </c>
      <c r="K8" s="7">
        <v>50500</v>
      </c>
      <c r="L8" s="7">
        <v>42000</v>
      </c>
      <c r="M8" s="7">
        <v>5000</v>
      </c>
      <c r="N8" s="7">
        <v>3800</v>
      </c>
      <c r="O8" s="7">
        <v>13800</v>
      </c>
      <c r="P8" s="7">
        <v>1850</v>
      </c>
      <c r="Q8" s="7">
        <v>45000</v>
      </c>
      <c r="R8" s="7">
        <v>10600</v>
      </c>
      <c r="S8" s="7">
        <v>5500</v>
      </c>
      <c r="T8" s="7">
        <v>9000</v>
      </c>
      <c r="U8" s="7">
        <v>46</v>
      </c>
      <c r="V8" s="7">
        <v>0.75</v>
      </c>
      <c r="W8" s="7">
        <v>0.64</v>
      </c>
      <c r="X8" s="7">
        <v>17.857142857142858</v>
      </c>
      <c r="Y8" s="7">
        <v>616.07142857142856</v>
      </c>
      <c r="Z8" s="7">
        <v>3.4827586206896598E-2</v>
      </c>
      <c r="AA8" s="7">
        <v>1.7971014492753623</v>
      </c>
    </row>
    <row r="9" spans="1:27" x14ac:dyDescent="0.2">
      <c r="A9" s="7">
        <v>7</v>
      </c>
      <c r="B9" s="7">
        <v>1300</v>
      </c>
      <c r="C9" s="7">
        <v>70</v>
      </c>
      <c r="D9" s="7">
        <v>91000</v>
      </c>
      <c r="E9" s="7">
        <v>870</v>
      </c>
      <c r="F9" s="7">
        <v>430</v>
      </c>
      <c r="G9" s="7">
        <v>1200</v>
      </c>
      <c r="H9" s="7">
        <v>6.8000000000000005E-2</v>
      </c>
      <c r="I9" s="7">
        <v>1600000</v>
      </c>
      <c r="J9" s="7">
        <v>1450</v>
      </c>
      <c r="K9" s="7">
        <v>56000</v>
      </c>
      <c r="L9" s="7">
        <v>46500</v>
      </c>
      <c r="M9" s="7">
        <v>5400</v>
      </c>
      <c r="N9" s="7">
        <v>4200</v>
      </c>
      <c r="O9" s="7">
        <v>15000</v>
      </c>
      <c r="P9" s="7">
        <v>2100</v>
      </c>
      <c r="Q9" s="7">
        <v>47000</v>
      </c>
      <c r="R9" s="7">
        <v>11200</v>
      </c>
      <c r="S9" s="7">
        <v>5800</v>
      </c>
      <c r="T9" s="7">
        <v>9300</v>
      </c>
      <c r="U9" s="7">
        <v>48</v>
      </c>
      <c r="V9" s="7">
        <v>0.72</v>
      </c>
      <c r="W9" s="7">
        <v>0.61</v>
      </c>
      <c r="X9" s="7">
        <v>14.705882352941176</v>
      </c>
      <c r="Y9" s="7">
        <v>508.23529411764702</v>
      </c>
      <c r="Z9" s="7">
        <v>3.5000000000000003E-2</v>
      </c>
      <c r="AA9" s="7">
        <v>2.0254629629629628</v>
      </c>
    </row>
    <row r="10" spans="1:27" x14ac:dyDescent="0.2">
      <c r="A10" s="7">
        <v>8</v>
      </c>
      <c r="B10" s="7">
        <v>1400</v>
      </c>
      <c r="C10" s="7">
        <v>68</v>
      </c>
      <c r="D10" s="7">
        <v>95000</v>
      </c>
      <c r="E10" s="7">
        <v>920</v>
      </c>
      <c r="F10" s="7">
        <v>480</v>
      </c>
      <c r="G10" s="7">
        <v>1250</v>
      </c>
      <c r="H10" s="7">
        <v>0.06</v>
      </c>
      <c r="I10" s="7">
        <v>1750000</v>
      </c>
      <c r="J10" s="7">
        <v>1580</v>
      </c>
      <c r="K10" s="7">
        <v>61000</v>
      </c>
      <c r="L10" s="7">
        <v>50000</v>
      </c>
      <c r="M10" s="7">
        <v>5800</v>
      </c>
      <c r="N10" s="7">
        <v>5200</v>
      </c>
      <c r="O10" s="7">
        <v>15500</v>
      </c>
      <c r="P10" s="7">
        <v>1950</v>
      </c>
      <c r="Q10" s="7">
        <v>49000</v>
      </c>
      <c r="R10" s="7">
        <v>12000</v>
      </c>
      <c r="S10" s="7">
        <v>6000</v>
      </c>
      <c r="T10" s="7">
        <v>9800</v>
      </c>
      <c r="U10" s="7">
        <v>49</v>
      </c>
      <c r="V10" s="7">
        <v>0.73</v>
      </c>
      <c r="W10" s="7">
        <v>0.62</v>
      </c>
      <c r="X10" s="7">
        <v>16.666666666666668</v>
      </c>
      <c r="Y10" s="7">
        <v>596.16666666666674</v>
      </c>
      <c r="Z10" s="7">
        <v>3.4857142857142899E-2</v>
      </c>
      <c r="AA10" s="7">
        <v>1.9010343863572829</v>
      </c>
    </row>
    <row r="11" spans="1:27" x14ac:dyDescent="0.2">
      <c r="A11" s="7">
        <v>9</v>
      </c>
      <c r="B11" s="7">
        <v>1350</v>
      </c>
      <c r="C11" s="7">
        <v>75</v>
      </c>
      <c r="D11" s="7">
        <v>101000</v>
      </c>
      <c r="E11" s="7">
        <v>900</v>
      </c>
      <c r="F11" s="7">
        <v>450</v>
      </c>
      <c r="G11" s="7">
        <v>1230</v>
      </c>
      <c r="H11" s="7">
        <v>7.4999999999999997E-2</v>
      </c>
      <c r="I11" s="7">
        <v>1700000</v>
      </c>
      <c r="J11" s="7">
        <v>1520</v>
      </c>
      <c r="K11" s="7">
        <v>59500</v>
      </c>
      <c r="L11" s="7">
        <v>49000</v>
      </c>
      <c r="M11" s="7">
        <v>5700</v>
      </c>
      <c r="N11" s="7">
        <v>4800</v>
      </c>
      <c r="O11" s="7">
        <v>16000</v>
      </c>
      <c r="P11" s="7">
        <v>3200</v>
      </c>
      <c r="Q11" s="7">
        <v>51000</v>
      </c>
      <c r="R11" s="7">
        <v>12500</v>
      </c>
      <c r="S11" s="7">
        <v>6200</v>
      </c>
      <c r="T11" s="7">
        <v>9600</v>
      </c>
      <c r="U11" s="7">
        <v>48</v>
      </c>
      <c r="V11" s="7">
        <v>0.7</v>
      </c>
      <c r="W11" s="7">
        <v>0.59</v>
      </c>
      <c r="X11" s="7">
        <v>13.333333333333334</v>
      </c>
      <c r="Y11" s="7">
        <v>448</v>
      </c>
      <c r="Z11" s="7">
        <v>3.5000000000000003E-2</v>
      </c>
      <c r="AA11" s="7">
        <v>2.2321428571428577</v>
      </c>
    </row>
    <row r="12" spans="1:27" x14ac:dyDescent="0.2">
      <c r="A12" s="7">
        <v>10</v>
      </c>
      <c r="B12" s="7">
        <v>1500</v>
      </c>
      <c r="C12" s="7">
        <v>72</v>
      </c>
      <c r="D12" s="7">
        <v>108000</v>
      </c>
      <c r="E12" s="7">
        <v>1000</v>
      </c>
      <c r="F12" s="7">
        <v>500</v>
      </c>
      <c r="G12" s="7">
        <v>1300</v>
      </c>
      <c r="H12" s="7">
        <v>6.2E-2</v>
      </c>
      <c r="I12" s="7">
        <v>1850000</v>
      </c>
      <c r="J12" s="7">
        <v>1700</v>
      </c>
      <c r="K12" s="7">
        <v>65000</v>
      </c>
      <c r="L12" s="7">
        <v>54000</v>
      </c>
      <c r="M12" s="7">
        <v>6000</v>
      </c>
      <c r="N12" s="7">
        <v>5000</v>
      </c>
      <c r="O12" s="7">
        <v>17000</v>
      </c>
      <c r="P12" s="7">
        <v>2300</v>
      </c>
      <c r="Q12" s="7">
        <v>54000</v>
      </c>
      <c r="R12" s="7">
        <v>13500</v>
      </c>
      <c r="S12" s="7">
        <v>6500</v>
      </c>
      <c r="T12" s="7">
        <v>10100</v>
      </c>
      <c r="U12" s="7">
        <v>50</v>
      </c>
      <c r="V12" s="7">
        <v>0.74</v>
      </c>
      <c r="W12" s="7">
        <v>0.64</v>
      </c>
      <c r="X12" s="7">
        <v>16.129032258064516</v>
      </c>
      <c r="Y12" s="7">
        <v>596.77419354838707</v>
      </c>
      <c r="Z12" s="7">
        <v>3.5135135135135102E-2</v>
      </c>
      <c r="AA12" s="7">
        <v>1.9459459459459461</v>
      </c>
    </row>
    <row r="13" spans="1:27" s="7" customFormat="1" x14ac:dyDescent="0.2">
      <c r="A13" s="7">
        <v>11</v>
      </c>
      <c r="B13" s="7">
        <v>1420</v>
      </c>
      <c r="C13" s="7">
        <v>70</v>
      </c>
      <c r="D13" s="7">
        <v>100000</v>
      </c>
      <c r="E13" s="7">
        <v>960</v>
      </c>
      <c r="F13" s="7">
        <v>460</v>
      </c>
      <c r="G13" s="7">
        <v>1280</v>
      </c>
      <c r="H13" s="7">
        <v>0.06</v>
      </c>
      <c r="I13" s="7">
        <v>1800000</v>
      </c>
      <c r="J13" s="7">
        <v>1660</v>
      </c>
      <c r="K13" s="7">
        <v>63200</v>
      </c>
      <c r="L13" s="7">
        <v>52500</v>
      </c>
      <c r="M13" s="7">
        <v>5900</v>
      </c>
      <c r="N13" s="7">
        <v>4800</v>
      </c>
      <c r="O13" s="7">
        <v>16800</v>
      </c>
      <c r="P13" s="7">
        <v>2100</v>
      </c>
      <c r="Q13" s="7">
        <v>56000</v>
      </c>
      <c r="R13" s="7">
        <v>13800</v>
      </c>
      <c r="S13" s="7">
        <v>6600</v>
      </c>
      <c r="T13" s="7">
        <v>10000</v>
      </c>
      <c r="U13" s="7">
        <v>49</v>
      </c>
      <c r="V13" s="7">
        <v>0.75</v>
      </c>
      <c r="W13" s="7">
        <v>0.65</v>
      </c>
      <c r="X13" s="7">
        <v>16.666666666666668</v>
      </c>
      <c r="Y13" s="7">
        <v>612.5</v>
      </c>
      <c r="Z13" s="7">
        <v>3.51111111111111E-2</v>
      </c>
      <c r="AA13" s="7">
        <v>1.9047619047619047</v>
      </c>
    </row>
    <row r="14" spans="1:27" s="7" customFormat="1" x14ac:dyDescent="0.2">
      <c r="A14" s="7">
        <v>12</v>
      </c>
      <c r="B14" s="7">
        <v>1600</v>
      </c>
      <c r="C14" s="7">
        <v>68</v>
      </c>
      <c r="D14" s="7">
        <v>110000</v>
      </c>
      <c r="E14" s="7">
        <v>1080</v>
      </c>
      <c r="F14" s="7">
        <v>520</v>
      </c>
      <c r="G14" s="7">
        <v>1400</v>
      </c>
      <c r="H14" s="7">
        <v>5.5E-2</v>
      </c>
      <c r="I14" s="7">
        <v>1980000</v>
      </c>
      <c r="J14" s="7">
        <v>1850</v>
      </c>
      <c r="K14" s="7">
        <v>70000</v>
      </c>
      <c r="L14" s="7">
        <v>58000</v>
      </c>
      <c r="M14" s="7">
        <v>6300</v>
      </c>
      <c r="N14" s="7">
        <v>5900</v>
      </c>
      <c r="O14" s="7">
        <v>17500</v>
      </c>
      <c r="P14" s="7">
        <v>2400</v>
      </c>
      <c r="Q14" s="7">
        <v>58000</v>
      </c>
      <c r="R14" s="7">
        <v>14000</v>
      </c>
      <c r="S14" s="7">
        <v>6800</v>
      </c>
      <c r="T14" s="7">
        <v>10600</v>
      </c>
      <c r="U14" s="7">
        <v>52</v>
      </c>
      <c r="V14" s="7">
        <v>0.76</v>
      </c>
      <c r="W14" s="7">
        <v>0.66</v>
      </c>
      <c r="X14" s="7">
        <v>18.181818181818183</v>
      </c>
      <c r="Y14" s="7">
        <v>718.54545454545462</v>
      </c>
      <c r="Z14" s="7">
        <v>3.5353535353535401E-2</v>
      </c>
      <c r="AA14" s="7">
        <v>1.7206477732793521</v>
      </c>
    </row>
    <row r="15" spans="1:27" x14ac:dyDescent="0.2">
      <c r="A15" s="7">
        <v>13</v>
      </c>
      <c r="B15" s="7">
        <v>1700</v>
      </c>
      <c r="C15" s="7">
        <v>64</v>
      </c>
      <c r="D15" s="7">
        <v>108000</v>
      </c>
      <c r="E15" s="7">
        <v>1150</v>
      </c>
      <c r="F15" s="7">
        <v>550</v>
      </c>
      <c r="G15" s="7">
        <v>1450</v>
      </c>
      <c r="H15" s="7">
        <v>0.05</v>
      </c>
      <c r="I15" s="7">
        <v>2100000</v>
      </c>
      <c r="J15" s="7">
        <v>1950</v>
      </c>
      <c r="K15" s="7">
        <v>74000</v>
      </c>
      <c r="L15" s="7">
        <v>61000</v>
      </c>
      <c r="M15" s="7">
        <v>6500</v>
      </c>
      <c r="N15" s="7">
        <v>6300</v>
      </c>
      <c r="O15" s="7">
        <v>17400</v>
      </c>
      <c r="P15" s="7">
        <v>2200</v>
      </c>
      <c r="Q15" s="7">
        <v>60000</v>
      </c>
      <c r="R15" s="7">
        <v>16000</v>
      </c>
      <c r="S15" s="7">
        <v>7000</v>
      </c>
      <c r="T15" s="7">
        <v>11000</v>
      </c>
      <c r="U15" s="7">
        <v>54</v>
      </c>
      <c r="V15" s="7">
        <v>0.77</v>
      </c>
      <c r="W15" s="7">
        <v>0.67</v>
      </c>
      <c r="X15" s="7">
        <v>20</v>
      </c>
      <c r="Y15" s="7">
        <v>831.6</v>
      </c>
      <c r="Z15" s="7">
        <v>3.52380952380952E-2</v>
      </c>
      <c r="AA15" s="7">
        <v>1.5392015392015392</v>
      </c>
    </row>
    <row r="16" spans="1:27" x14ac:dyDescent="0.2">
      <c r="A16" s="7">
        <v>14</v>
      </c>
      <c r="B16" s="7">
        <v>1620</v>
      </c>
      <c r="C16" s="7">
        <v>70</v>
      </c>
      <c r="D16" s="7">
        <v>113000</v>
      </c>
      <c r="E16" s="7">
        <v>1050</v>
      </c>
      <c r="F16" s="7">
        <v>570</v>
      </c>
      <c r="G16" s="7">
        <v>1400</v>
      </c>
      <c r="H16" s="7">
        <v>6.5000000000000002E-2</v>
      </c>
      <c r="I16" s="7">
        <v>2050000</v>
      </c>
      <c r="J16" s="7">
        <v>1900</v>
      </c>
      <c r="K16" s="7">
        <v>71500</v>
      </c>
      <c r="L16" s="7">
        <v>58500</v>
      </c>
      <c r="M16" s="7">
        <v>6400</v>
      </c>
      <c r="N16" s="7">
        <v>5900</v>
      </c>
      <c r="O16" s="7">
        <v>17600</v>
      </c>
      <c r="P16" s="7">
        <v>2600</v>
      </c>
      <c r="Q16" s="7">
        <v>61000</v>
      </c>
      <c r="R16" s="7">
        <v>16200</v>
      </c>
      <c r="S16" s="7">
        <v>7100</v>
      </c>
      <c r="T16" s="7">
        <v>10900</v>
      </c>
      <c r="U16" s="7">
        <v>53</v>
      </c>
      <c r="V16" s="7">
        <v>0.74</v>
      </c>
      <c r="W16" s="7">
        <v>0.63</v>
      </c>
      <c r="X16" s="7">
        <v>15.384615384615383</v>
      </c>
      <c r="Y16" s="7">
        <v>603.38461538461536</v>
      </c>
      <c r="Z16" s="7">
        <v>3.4878048780487801E-2</v>
      </c>
      <c r="AA16" s="7">
        <v>1.7848036715961244</v>
      </c>
    </row>
    <row r="17" spans="1:27" x14ac:dyDescent="0.2">
      <c r="A17" s="7">
        <v>15</v>
      </c>
      <c r="B17" s="7">
        <v>1750</v>
      </c>
      <c r="C17" s="7">
        <v>66</v>
      </c>
      <c r="D17" s="7">
        <v>118000</v>
      </c>
      <c r="E17" s="7">
        <v>1180</v>
      </c>
      <c r="F17" s="7">
        <v>570</v>
      </c>
      <c r="G17" s="7">
        <v>1480</v>
      </c>
      <c r="H17" s="7">
        <v>5.1999999999999998E-2</v>
      </c>
      <c r="I17" s="7">
        <v>2200000</v>
      </c>
      <c r="J17" s="7">
        <v>2050</v>
      </c>
      <c r="K17" s="7">
        <v>78000</v>
      </c>
      <c r="L17" s="7">
        <v>65000</v>
      </c>
      <c r="M17" s="7">
        <v>7000</v>
      </c>
      <c r="N17" s="7">
        <v>6000</v>
      </c>
      <c r="O17" s="7">
        <v>17800</v>
      </c>
      <c r="P17" s="7">
        <v>2500</v>
      </c>
      <c r="Q17" s="7">
        <v>63000</v>
      </c>
      <c r="R17" s="7">
        <v>16500</v>
      </c>
      <c r="S17" s="7">
        <v>7200</v>
      </c>
      <c r="T17" s="7">
        <v>11400</v>
      </c>
      <c r="U17" s="7">
        <v>55</v>
      </c>
      <c r="V17" s="7">
        <v>0.76</v>
      </c>
      <c r="W17" s="7">
        <v>0.66</v>
      </c>
      <c r="X17" s="7">
        <v>19.23076923076923</v>
      </c>
      <c r="Y17" s="7">
        <v>803.84615384615381</v>
      </c>
      <c r="Z17" s="7">
        <v>3.5454545454545502E-2</v>
      </c>
      <c r="AA17" s="7">
        <v>1.5789473684210527</v>
      </c>
    </row>
    <row r="18" spans="1:27" x14ac:dyDescent="0.2">
      <c r="A18" s="7">
        <v>16</v>
      </c>
      <c r="B18" s="7">
        <v>1800</v>
      </c>
      <c r="C18" s="7">
        <v>64</v>
      </c>
      <c r="D18" s="7">
        <v>120000</v>
      </c>
      <c r="E18" s="7">
        <v>1220</v>
      </c>
      <c r="F18" s="7">
        <v>580</v>
      </c>
      <c r="G18" s="7">
        <v>1520</v>
      </c>
      <c r="H18" s="7">
        <v>0.05</v>
      </c>
      <c r="I18" s="7">
        <v>2300000</v>
      </c>
      <c r="J18" s="7">
        <v>2130</v>
      </c>
      <c r="K18" s="7">
        <v>81000</v>
      </c>
      <c r="L18" s="7">
        <v>67500</v>
      </c>
      <c r="M18" s="7">
        <v>7200</v>
      </c>
      <c r="N18" s="7">
        <v>6300</v>
      </c>
      <c r="O18" s="7">
        <v>18000</v>
      </c>
      <c r="P18" s="7">
        <v>2400</v>
      </c>
      <c r="Q18" s="7">
        <v>65000</v>
      </c>
      <c r="R18" s="7">
        <v>16800</v>
      </c>
      <c r="S18" s="7">
        <v>7400</v>
      </c>
      <c r="T18" s="7">
        <v>11700</v>
      </c>
      <c r="U18" s="7">
        <v>56</v>
      </c>
      <c r="V18" s="7">
        <v>0.77</v>
      </c>
      <c r="W18" s="7">
        <v>0.68</v>
      </c>
      <c r="X18" s="7">
        <v>20</v>
      </c>
      <c r="Y18" s="7">
        <v>862.4</v>
      </c>
      <c r="Z18" s="7">
        <v>3.5217391304347798E-2</v>
      </c>
      <c r="AA18" s="7">
        <v>1.484230055658627</v>
      </c>
    </row>
    <row r="19" spans="1:27" x14ac:dyDescent="0.2">
      <c r="A19" s="7">
        <v>17</v>
      </c>
      <c r="B19" s="7">
        <v>1850</v>
      </c>
      <c r="C19" s="7">
        <v>70</v>
      </c>
      <c r="D19" s="7">
        <v>130000</v>
      </c>
      <c r="E19" s="7">
        <v>1250</v>
      </c>
      <c r="F19" s="7">
        <v>600</v>
      </c>
      <c r="G19" s="7">
        <v>1580</v>
      </c>
      <c r="H19" s="7">
        <v>0.06</v>
      </c>
      <c r="I19" s="7">
        <v>2400000</v>
      </c>
      <c r="J19" s="7">
        <v>2200</v>
      </c>
      <c r="K19" s="7">
        <v>85000</v>
      </c>
      <c r="L19" s="7">
        <v>70000</v>
      </c>
      <c r="M19" s="7">
        <v>7400</v>
      </c>
      <c r="N19" s="7">
        <v>6600</v>
      </c>
      <c r="O19" s="7">
        <v>18500</v>
      </c>
      <c r="P19" s="7">
        <v>3000</v>
      </c>
      <c r="Q19" s="7">
        <v>68000</v>
      </c>
      <c r="R19" s="7">
        <v>17200</v>
      </c>
      <c r="S19" s="7">
        <v>7600</v>
      </c>
      <c r="T19" s="7">
        <v>12000</v>
      </c>
      <c r="U19" s="7">
        <v>57</v>
      </c>
      <c r="V19" s="7">
        <v>0.75</v>
      </c>
      <c r="W19" s="7">
        <v>0.65</v>
      </c>
      <c r="X19" s="7">
        <v>16.666666666666668</v>
      </c>
      <c r="Y19" s="7">
        <v>712.50000000000011</v>
      </c>
      <c r="Z19" s="7">
        <v>3.54166666666667E-2</v>
      </c>
      <c r="AA19" s="7">
        <v>1.6374269005847952</v>
      </c>
    </row>
    <row r="20" spans="1:27" x14ac:dyDescent="0.2">
      <c r="A20" s="7">
        <v>18</v>
      </c>
      <c r="B20" s="7">
        <v>1780</v>
      </c>
      <c r="C20" s="7">
        <v>75</v>
      </c>
      <c r="D20" s="7">
        <v>128000</v>
      </c>
      <c r="E20" s="7">
        <v>1200</v>
      </c>
      <c r="F20" s="7">
        <v>580</v>
      </c>
      <c r="G20" s="7">
        <v>1550</v>
      </c>
      <c r="H20" s="7">
        <v>6.8000000000000005E-2</v>
      </c>
      <c r="I20" s="7">
        <v>2350000</v>
      </c>
      <c r="J20" s="7">
        <v>2150</v>
      </c>
      <c r="K20" s="7">
        <v>83000</v>
      </c>
      <c r="L20" s="7">
        <v>69000</v>
      </c>
      <c r="M20" s="7">
        <v>7300</v>
      </c>
      <c r="N20" s="7">
        <v>6400</v>
      </c>
      <c r="O20" s="7">
        <v>18600</v>
      </c>
      <c r="P20" s="7">
        <v>4200</v>
      </c>
      <c r="Q20" s="7">
        <v>70000</v>
      </c>
      <c r="R20" s="7">
        <v>17500</v>
      </c>
      <c r="S20" s="7">
        <v>7800</v>
      </c>
      <c r="T20" s="7">
        <v>11800</v>
      </c>
      <c r="U20" s="7">
        <v>56</v>
      </c>
      <c r="V20" s="7">
        <v>0.72</v>
      </c>
      <c r="W20" s="7">
        <v>0.62</v>
      </c>
      <c r="X20" s="7">
        <v>14.705882352941176</v>
      </c>
      <c r="Y20" s="7">
        <v>592.94117647058818</v>
      </c>
      <c r="Z20" s="7">
        <v>3.5319148936170199E-2</v>
      </c>
      <c r="AA20" s="7">
        <v>1.8601190476190477</v>
      </c>
    </row>
    <row r="21" spans="1:27" x14ac:dyDescent="0.2">
      <c r="A21" s="7">
        <v>19</v>
      </c>
      <c r="B21" s="7">
        <v>1900</v>
      </c>
      <c r="C21" s="7">
        <v>72</v>
      </c>
      <c r="D21" s="7">
        <v>135000</v>
      </c>
      <c r="E21" s="7">
        <v>1300</v>
      </c>
      <c r="F21" s="7">
        <v>600</v>
      </c>
      <c r="G21" s="7">
        <v>1620</v>
      </c>
      <c r="H21" s="7">
        <v>5.5E-2</v>
      </c>
      <c r="I21" s="7">
        <v>2550000</v>
      </c>
      <c r="J21" s="7">
        <v>2350</v>
      </c>
      <c r="K21" s="7">
        <v>92000</v>
      </c>
      <c r="L21" s="7">
        <v>76000</v>
      </c>
      <c r="M21" s="7">
        <v>7900</v>
      </c>
      <c r="N21" s="7">
        <v>7000</v>
      </c>
      <c r="O21" s="7">
        <v>19000</v>
      </c>
      <c r="P21" s="7">
        <v>2600</v>
      </c>
      <c r="Q21" s="7">
        <v>72000</v>
      </c>
      <c r="R21" s="7">
        <v>18000</v>
      </c>
      <c r="S21" s="7">
        <v>8000</v>
      </c>
      <c r="T21" s="7">
        <v>12500</v>
      </c>
      <c r="U21" s="7">
        <v>59</v>
      </c>
      <c r="V21" s="7">
        <v>0.76</v>
      </c>
      <c r="W21" s="7">
        <v>0.67</v>
      </c>
      <c r="X21" s="7">
        <v>18.181818181818183</v>
      </c>
      <c r="Y21" s="7">
        <v>815.27272727272725</v>
      </c>
      <c r="Z21" s="7">
        <v>3.6078431372549E-2</v>
      </c>
      <c r="AA21" s="7">
        <v>1.6057091882247991</v>
      </c>
    </row>
    <row r="22" spans="1:27" x14ac:dyDescent="0.2">
      <c r="A22" s="7">
        <v>20</v>
      </c>
      <c r="B22" s="7">
        <v>2000</v>
      </c>
      <c r="C22" s="7">
        <v>68</v>
      </c>
      <c r="D22" s="7">
        <v>140000</v>
      </c>
      <c r="E22" s="7">
        <v>1380</v>
      </c>
      <c r="F22" s="7">
        <v>620</v>
      </c>
      <c r="G22" s="7">
        <v>1700</v>
      </c>
      <c r="H22" s="7">
        <v>0.05</v>
      </c>
      <c r="I22" s="7">
        <v>2700000</v>
      </c>
      <c r="J22" s="7">
        <v>2500</v>
      </c>
      <c r="K22" s="7">
        <v>97000</v>
      </c>
      <c r="L22" s="7">
        <v>80000</v>
      </c>
      <c r="M22" s="7">
        <v>8200</v>
      </c>
      <c r="N22" s="7">
        <v>7600</v>
      </c>
      <c r="O22" s="7">
        <v>19500</v>
      </c>
      <c r="P22" s="7">
        <v>2400</v>
      </c>
      <c r="Q22" s="7">
        <v>74000</v>
      </c>
      <c r="R22" s="7">
        <v>18500</v>
      </c>
      <c r="S22" s="7">
        <v>8200</v>
      </c>
      <c r="T22" s="7">
        <v>13000</v>
      </c>
      <c r="U22" s="7">
        <v>60</v>
      </c>
      <c r="V22" s="7">
        <v>0.78</v>
      </c>
      <c r="W22" s="7">
        <v>0.69</v>
      </c>
      <c r="X22" s="7">
        <v>20</v>
      </c>
      <c r="Y22" s="7">
        <v>936</v>
      </c>
      <c r="Z22" s="7">
        <v>3.5925925925925903E-2</v>
      </c>
      <c r="AA22" s="7">
        <v>1.4529914529914529</v>
      </c>
    </row>
    <row r="23" spans="1:27" x14ac:dyDescent="0.2">
      <c r="A23" s="7">
        <v>21</v>
      </c>
      <c r="B23" s="7">
        <v>2100</v>
      </c>
      <c r="C23" s="7">
        <v>66</v>
      </c>
      <c r="D23" s="7">
        <v>142000</v>
      </c>
      <c r="E23" s="7">
        <v>1450</v>
      </c>
      <c r="F23" s="7">
        <v>650</v>
      </c>
      <c r="G23" s="7">
        <v>1770</v>
      </c>
      <c r="H23" s="7">
        <v>4.8000000000000001E-2</v>
      </c>
      <c r="I23" s="7">
        <v>2850000</v>
      </c>
      <c r="J23" s="7">
        <v>2650</v>
      </c>
      <c r="K23" s="7">
        <v>102000</v>
      </c>
      <c r="L23" s="7">
        <v>84000</v>
      </c>
      <c r="M23" s="7">
        <v>8500</v>
      </c>
      <c r="N23" s="7">
        <v>7600</v>
      </c>
      <c r="O23" s="7">
        <v>20000</v>
      </c>
      <c r="P23" s="7">
        <v>2200</v>
      </c>
      <c r="Q23" s="7">
        <v>76000</v>
      </c>
      <c r="R23" s="7">
        <v>19000</v>
      </c>
      <c r="S23" s="7">
        <v>8400</v>
      </c>
      <c r="T23" s="7">
        <v>13500</v>
      </c>
      <c r="U23" s="7">
        <v>61</v>
      </c>
      <c r="V23" s="7">
        <v>0.79</v>
      </c>
      <c r="W23" s="7">
        <v>0.7</v>
      </c>
      <c r="X23" s="7">
        <v>20.833333333333332</v>
      </c>
      <c r="Y23" s="7">
        <v>1003.9583333333334</v>
      </c>
      <c r="Z23" s="7">
        <v>3.5789473684210503E-2</v>
      </c>
      <c r="AA23" s="7">
        <v>1.3695787507781696</v>
      </c>
    </row>
    <row r="24" spans="1:27" x14ac:dyDescent="0.2">
      <c r="A24" s="7">
        <v>22</v>
      </c>
      <c r="B24" s="7">
        <v>2050</v>
      </c>
      <c r="C24" s="7">
        <v>70</v>
      </c>
      <c r="D24" s="7">
        <v>150000</v>
      </c>
      <c r="E24" s="7">
        <v>1400</v>
      </c>
      <c r="F24" s="7">
        <v>650</v>
      </c>
      <c r="G24" s="7">
        <v>1750</v>
      </c>
      <c r="H24" s="7">
        <v>6.5000000000000002E-2</v>
      </c>
      <c r="I24" s="7">
        <v>2800000</v>
      </c>
      <c r="J24" s="7">
        <v>2600</v>
      </c>
      <c r="K24" s="7">
        <v>99500</v>
      </c>
      <c r="L24" s="7">
        <v>82000</v>
      </c>
      <c r="M24" s="7">
        <v>8300</v>
      </c>
      <c r="N24" s="7">
        <v>7200</v>
      </c>
      <c r="O24" s="7">
        <v>20200</v>
      </c>
      <c r="P24" s="7">
        <v>3500</v>
      </c>
      <c r="Q24" s="7">
        <v>78000</v>
      </c>
      <c r="R24" s="7">
        <v>19500</v>
      </c>
      <c r="S24" s="7">
        <v>8600</v>
      </c>
      <c r="T24" s="7">
        <v>13300</v>
      </c>
      <c r="U24" s="7">
        <v>60</v>
      </c>
      <c r="V24" s="7">
        <v>0.74</v>
      </c>
      <c r="W24" s="7">
        <v>0.63</v>
      </c>
      <c r="X24" s="7">
        <v>15.384615384615383</v>
      </c>
      <c r="Y24" s="7">
        <v>683.07692307692298</v>
      </c>
      <c r="Z24" s="7">
        <v>3.5535714285714302E-2</v>
      </c>
      <c r="AA24" s="7">
        <v>1.5765765765765767</v>
      </c>
    </row>
    <row r="25" spans="1:27" x14ac:dyDescent="0.2">
      <c r="A25" s="7">
        <v>23</v>
      </c>
      <c r="B25" s="7">
        <v>2200</v>
      </c>
      <c r="C25" s="7">
        <v>68</v>
      </c>
      <c r="D25" s="7">
        <v>148000</v>
      </c>
      <c r="E25" s="7">
        <v>1500</v>
      </c>
      <c r="F25" s="7">
        <v>700</v>
      </c>
      <c r="G25" s="7">
        <v>1850</v>
      </c>
      <c r="H25" s="7">
        <v>5.1999999999999998E-2</v>
      </c>
      <c r="I25" s="7">
        <v>3000000</v>
      </c>
      <c r="J25" s="7">
        <v>2800</v>
      </c>
      <c r="K25" s="7">
        <v>108000</v>
      </c>
      <c r="L25" s="7">
        <v>89000</v>
      </c>
      <c r="M25" s="7">
        <v>9000</v>
      </c>
      <c r="N25" s="7">
        <v>8000</v>
      </c>
      <c r="O25" s="7">
        <v>20500</v>
      </c>
      <c r="P25" s="7">
        <v>2700</v>
      </c>
      <c r="Q25" s="7">
        <v>80000</v>
      </c>
      <c r="R25" s="7">
        <v>20000</v>
      </c>
      <c r="S25" s="7">
        <v>8800</v>
      </c>
      <c r="T25" s="7">
        <v>14000</v>
      </c>
      <c r="U25" s="7">
        <v>62</v>
      </c>
      <c r="V25" s="7">
        <v>0.77</v>
      </c>
      <c r="W25" s="7">
        <v>0.66</v>
      </c>
      <c r="X25" s="7">
        <v>19.23076923076923</v>
      </c>
      <c r="Y25" s="7">
        <v>918.07692307692298</v>
      </c>
      <c r="Z25" s="7">
        <v>3.5999999999999997E-2</v>
      </c>
      <c r="AA25" s="7">
        <v>1.4243820695433598</v>
      </c>
    </row>
    <row r="26" spans="1:27" s="7" customFormat="1" x14ac:dyDescent="0.2">
      <c r="A26" s="7">
        <v>24</v>
      </c>
      <c r="B26" s="7">
        <v>2300</v>
      </c>
      <c r="C26" s="7">
        <v>67</v>
      </c>
      <c r="D26" s="7">
        <v>155000</v>
      </c>
      <c r="E26" s="7">
        <v>1580</v>
      </c>
      <c r="F26" s="7">
        <v>720</v>
      </c>
      <c r="G26" s="7">
        <v>1920</v>
      </c>
      <c r="H26" s="7">
        <v>0.05</v>
      </c>
      <c r="I26" s="7">
        <v>3150000</v>
      </c>
      <c r="J26" s="7">
        <v>2950</v>
      </c>
      <c r="K26" s="7">
        <v>114000</v>
      </c>
      <c r="L26" s="7">
        <v>94000</v>
      </c>
      <c r="M26" s="7">
        <v>9500</v>
      </c>
      <c r="N26" s="7">
        <v>8500</v>
      </c>
      <c r="O26" s="7">
        <v>20800</v>
      </c>
      <c r="P26" s="7">
        <v>2900</v>
      </c>
      <c r="Q26" s="7">
        <v>82000</v>
      </c>
      <c r="R26" s="7">
        <v>20500</v>
      </c>
      <c r="S26" s="7">
        <v>9000</v>
      </c>
      <c r="T26" s="7">
        <v>14600</v>
      </c>
      <c r="U26" s="7">
        <v>63</v>
      </c>
      <c r="V26" s="7">
        <v>0.78</v>
      </c>
      <c r="W26" s="7">
        <v>0.68</v>
      </c>
      <c r="X26" s="7">
        <v>20</v>
      </c>
      <c r="Y26" s="7">
        <v>982.80000000000007</v>
      </c>
      <c r="Z26" s="7">
        <v>3.6190476190476203E-2</v>
      </c>
      <c r="AA26" s="7">
        <v>1.3634513634513634</v>
      </c>
    </row>
    <row r="27" spans="1:27" x14ac:dyDescent="0.2">
      <c r="A27" s="7">
        <v>25</v>
      </c>
      <c r="B27" s="7">
        <v>2400</v>
      </c>
      <c r="C27" s="7">
        <v>65</v>
      </c>
      <c r="D27" s="7">
        <v>160000</v>
      </c>
      <c r="E27" s="7">
        <v>1650</v>
      </c>
      <c r="F27" s="7">
        <v>750</v>
      </c>
      <c r="G27" s="7">
        <v>1990</v>
      </c>
      <c r="H27" s="17">
        <v>4.7E-2</v>
      </c>
      <c r="I27" s="7">
        <v>3300000</v>
      </c>
      <c r="J27" s="7">
        <v>3100</v>
      </c>
      <c r="K27" s="7">
        <v>119000</v>
      </c>
      <c r="L27" s="7">
        <v>98000</v>
      </c>
      <c r="M27" s="7">
        <v>10000</v>
      </c>
      <c r="N27" s="7">
        <v>9500</v>
      </c>
      <c r="O27" s="7">
        <v>21200</v>
      </c>
      <c r="P27" s="7">
        <v>3000</v>
      </c>
      <c r="Q27" s="7">
        <v>84000</v>
      </c>
      <c r="R27" s="7">
        <v>21000</v>
      </c>
      <c r="S27" s="7">
        <v>9200</v>
      </c>
      <c r="T27" s="7">
        <v>15000</v>
      </c>
      <c r="U27" s="7">
        <v>64</v>
      </c>
      <c r="V27" s="7">
        <v>0.79</v>
      </c>
      <c r="W27" s="7">
        <v>0.69</v>
      </c>
      <c r="X27" s="7">
        <v>21.276595744680851</v>
      </c>
      <c r="Y27" s="7">
        <v>1075.7446808510638</v>
      </c>
      <c r="Z27" s="7">
        <v>3.6060606060606099E-2</v>
      </c>
      <c r="AA27" s="7">
        <v>1.2856012658227847</v>
      </c>
    </row>
    <row r="28" spans="1:27" x14ac:dyDescent="0.2">
      <c r="A28" s="7">
        <v>26</v>
      </c>
      <c r="B28" s="7">
        <v>2350</v>
      </c>
      <c r="C28" s="7">
        <v>70</v>
      </c>
      <c r="D28" s="7">
        <v>158000</v>
      </c>
      <c r="E28" s="7">
        <v>1600</v>
      </c>
      <c r="F28" s="7">
        <v>750</v>
      </c>
      <c r="G28" s="7">
        <v>1970</v>
      </c>
      <c r="H28" s="17">
        <v>0.06</v>
      </c>
      <c r="I28" s="7">
        <v>3250000</v>
      </c>
      <c r="J28" s="7">
        <v>3050</v>
      </c>
      <c r="K28" s="7">
        <v>116000</v>
      </c>
      <c r="L28" s="7">
        <v>96000</v>
      </c>
      <c r="M28" s="7">
        <v>9800</v>
      </c>
      <c r="N28" s="7">
        <v>8200</v>
      </c>
      <c r="O28" s="7">
        <v>21500</v>
      </c>
      <c r="P28" s="7">
        <v>3800</v>
      </c>
      <c r="Q28" s="7">
        <v>86000</v>
      </c>
      <c r="R28" s="7">
        <v>21500</v>
      </c>
      <c r="S28" s="7">
        <v>9400</v>
      </c>
      <c r="T28" s="7">
        <v>14800</v>
      </c>
      <c r="U28" s="7">
        <v>63</v>
      </c>
      <c r="V28" s="7">
        <v>0.75</v>
      </c>
      <c r="W28" s="7">
        <v>0.64</v>
      </c>
      <c r="X28" s="7">
        <v>16.666666666666668</v>
      </c>
      <c r="Y28" s="7">
        <v>787.5</v>
      </c>
      <c r="Z28" s="7">
        <v>3.5692307692307697E-2</v>
      </c>
      <c r="AA28" s="7">
        <v>1.4814814814814814</v>
      </c>
    </row>
    <row r="29" spans="1:27" x14ac:dyDescent="0.2">
      <c r="A29" s="7">
        <v>27</v>
      </c>
      <c r="B29" s="7">
        <v>2500</v>
      </c>
      <c r="C29" s="7">
        <v>68</v>
      </c>
      <c r="D29" s="7">
        <v>165000</v>
      </c>
      <c r="E29" s="7">
        <v>1700</v>
      </c>
      <c r="F29" s="7">
        <v>800</v>
      </c>
      <c r="G29" s="7">
        <v>2050</v>
      </c>
      <c r="H29" s="17">
        <v>0.05</v>
      </c>
      <c r="I29" s="7">
        <v>3450000</v>
      </c>
      <c r="J29" s="7">
        <v>3250</v>
      </c>
      <c r="K29" s="7">
        <v>123000</v>
      </c>
      <c r="L29" s="7">
        <v>102000</v>
      </c>
      <c r="M29" s="7">
        <v>10300</v>
      </c>
      <c r="N29" s="7">
        <v>8700</v>
      </c>
      <c r="O29" s="7">
        <v>21800</v>
      </c>
      <c r="P29" s="7">
        <v>3200</v>
      </c>
      <c r="Q29" s="7">
        <v>88000</v>
      </c>
      <c r="R29" s="7">
        <v>22000</v>
      </c>
      <c r="S29" s="7">
        <v>9600</v>
      </c>
      <c r="T29" s="7">
        <v>15600</v>
      </c>
      <c r="U29" s="7">
        <v>65</v>
      </c>
      <c r="V29" s="7">
        <v>0.78</v>
      </c>
      <c r="W29" s="7">
        <v>0.68</v>
      </c>
      <c r="X29" s="7">
        <v>20</v>
      </c>
      <c r="Y29" s="7">
        <v>1014</v>
      </c>
      <c r="Z29" s="7">
        <v>3.5652173913043497E-2</v>
      </c>
      <c r="AA29" s="7">
        <v>1.3412228796844181</v>
      </c>
    </row>
    <row r="30" spans="1:27" x14ac:dyDescent="0.2">
      <c r="A30" s="7">
        <v>28</v>
      </c>
      <c r="B30" s="7">
        <v>2600</v>
      </c>
      <c r="C30" s="7">
        <v>66</v>
      </c>
      <c r="D30" s="7">
        <v>168000</v>
      </c>
      <c r="E30" s="7">
        <v>1750</v>
      </c>
      <c r="F30" s="7">
        <v>850</v>
      </c>
      <c r="G30" s="7">
        <v>2120</v>
      </c>
      <c r="H30" s="17">
        <v>4.4999999999999998E-2</v>
      </c>
      <c r="I30" s="7">
        <v>3600000</v>
      </c>
      <c r="J30" s="7">
        <v>3350</v>
      </c>
      <c r="K30" s="7">
        <v>128000</v>
      </c>
      <c r="L30" s="7">
        <v>106000</v>
      </c>
      <c r="M30" s="7">
        <v>10600</v>
      </c>
      <c r="N30" s="7">
        <v>8700</v>
      </c>
      <c r="O30" s="7">
        <v>22000</v>
      </c>
      <c r="P30" s="7">
        <v>2800</v>
      </c>
      <c r="Q30" s="7">
        <v>90000</v>
      </c>
      <c r="R30" s="7">
        <v>22500</v>
      </c>
      <c r="S30" s="7">
        <v>9800</v>
      </c>
      <c r="T30" s="7">
        <v>16000</v>
      </c>
      <c r="U30" s="7">
        <v>66</v>
      </c>
      <c r="V30" s="7">
        <v>0.8</v>
      </c>
      <c r="W30" s="7">
        <v>0.7</v>
      </c>
      <c r="X30" s="7">
        <v>22.222222222222221</v>
      </c>
      <c r="Y30" s="7">
        <v>1173.3333333333333</v>
      </c>
      <c r="Z30" s="7">
        <v>3.5555555555555597E-2</v>
      </c>
      <c r="AA30" s="7">
        <v>1.25</v>
      </c>
    </row>
    <row r="31" spans="1:27" x14ac:dyDescent="0.2">
      <c r="A31" s="7">
        <v>29</v>
      </c>
      <c r="B31" s="7">
        <v>2550</v>
      </c>
      <c r="C31" s="7">
        <v>70</v>
      </c>
      <c r="D31" s="7">
        <v>170000</v>
      </c>
      <c r="E31" s="7">
        <v>1700</v>
      </c>
      <c r="F31" s="7">
        <v>850</v>
      </c>
      <c r="G31" s="7">
        <v>2100</v>
      </c>
      <c r="H31" s="17">
        <v>6.5000000000000002E-2</v>
      </c>
      <c r="I31" s="7">
        <v>3550000</v>
      </c>
      <c r="J31" s="7">
        <v>3300</v>
      </c>
      <c r="K31" s="7">
        <v>125000</v>
      </c>
      <c r="L31" s="7">
        <v>104000</v>
      </c>
      <c r="M31" s="7">
        <v>10400</v>
      </c>
      <c r="N31" s="7">
        <v>8400</v>
      </c>
      <c r="O31" s="7">
        <v>22200</v>
      </c>
      <c r="P31" s="7">
        <v>4200</v>
      </c>
      <c r="Q31" s="7">
        <v>92000</v>
      </c>
      <c r="R31" s="7">
        <v>23000</v>
      </c>
      <c r="S31" s="7">
        <v>10000</v>
      </c>
      <c r="T31" s="7">
        <v>15800</v>
      </c>
      <c r="U31" s="7">
        <v>65</v>
      </c>
      <c r="V31" s="7">
        <v>0.74</v>
      </c>
      <c r="W31" s="7">
        <v>0.63</v>
      </c>
      <c r="X31" s="7">
        <v>15.384615384615383</v>
      </c>
      <c r="Y31" s="7">
        <v>739.99999999999989</v>
      </c>
      <c r="Z31" s="7">
        <v>3.5211267605633798E-2</v>
      </c>
      <c r="AA31" s="7">
        <v>1.4553014553014552</v>
      </c>
    </row>
    <row r="32" spans="1:27" x14ac:dyDescent="0.2">
      <c r="A32" s="7">
        <v>30</v>
      </c>
      <c r="B32" s="7">
        <v>2700</v>
      </c>
      <c r="C32" s="7">
        <v>68</v>
      </c>
      <c r="D32" s="7">
        <v>175000</v>
      </c>
      <c r="E32" s="7">
        <v>1820</v>
      </c>
      <c r="F32" s="7">
        <v>880</v>
      </c>
      <c r="G32" s="7">
        <v>2200</v>
      </c>
      <c r="H32" s="17">
        <v>5.1999999999999998E-2</v>
      </c>
      <c r="I32" s="7">
        <v>3750000</v>
      </c>
      <c r="J32" s="7">
        <v>3500</v>
      </c>
      <c r="K32" s="7">
        <v>132000</v>
      </c>
      <c r="L32" s="7">
        <v>110000</v>
      </c>
      <c r="M32" s="7">
        <v>11000</v>
      </c>
      <c r="N32" s="7">
        <v>10000</v>
      </c>
      <c r="O32" s="7">
        <v>22500</v>
      </c>
      <c r="P32" s="7">
        <v>3000</v>
      </c>
      <c r="Q32" s="7">
        <v>94000</v>
      </c>
      <c r="R32" s="7">
        <v>23500</v>
      </c>
      <c r="S32" s="7">
        <v>10200</v>
      </c>
      <c r="T32" s="7">
        <v>16500</v>
      </c>
      <c r="U32" s="7">
        <v>67</v>
      </c>
      <c r="V32" s="7">
        <v>0.77</v>
      </c>
      <c r="W32" s="7">
        <v>0.66</v>
      </c>
      <c r="X32" s="7">
        <v>19.23076923076923</v>
      </c>
      <c r="Y32" s="7">
        <v>992.11538461538453</v>
      </c>
      <c r="Z32" s="7">
        <v>3.5200000000000002E-2</v>
      </c>
      <c r="AA32" s="7">
        <v>1.3180849001744523</v>
      </c>
    </row>
    <row r="33" spans="1:27" x14ac:dyDescent="0.2">
      <c r="A33" s="7">
        <v>31</v>
      </c>
      <c r="B33" s="7">
        <v>2800</v>
      </c>
      <c r="C33" s="7">
        <v>66</v>
      </c>
      <c r="D33" s="7">
        <v>178000</v>
      </c>
      <c r="E33" s="7">
        <v>1880</v>
      </c>
      <c r="F33" s="7">
        <v>920</v>
      </c>
      <c r="G33" s="7">
        <v>2270</v>
      </c>
      <c r="H33" s="17">
        <v>4.9000000000000002E-2</v>
      </c>
      <c r="I33" s="7">
        <v>3900000</v>
      </c>
      <c r="J33" s="7">
        <v>3650</v>
      </c>
      <c r="K33" s="7">
        <v>138000</v>
      </c>
      <c r="L33" s="7">
        <v>115000</v>
      </c>
      <c r="M33" s="7">
        <v>11500</v>
      </c>
      <c r="N33" s="7">
        <v>9800</v>
      </c>
      <c r="O33" s="7">
        <v>22800</v>
      </c>
      <c r="P33" s="7">
        <v>3200</v>
      </c>
      <c r="Q33" s="7">
        <v>96000</v>
      </c>
      <c r="R33" s="7">
        <v>24000</v>
      </c>
      <c r="S33" s="7">
        <v>10400</v>
      </c>
      <c r="T33" s="7">
        <v>17200</v>
      </c>
      <c r="U33" s="7">
        <v>68</v>
      </c>
      <c r="V33" s="7">
        <v>0.78</v>
      </c>
      <c r="W33" s="7">
        <v>0.68</v>
      </c>
      <c r="X33" s="7">
        <v>20.408163265306122</v>
      </c>
      <c r="Y33" s="7">
        <v>1082.4489795918369</v>
      </c>
      <c r="Z33" s="7">
        <v>3.5384615384615403E-2</v>
      </c>
      <c r="AA33" s="7">
        <v>1.244343891402715</v>
      </c>
    </row>
    <row r="34" spans="1:27" x14ac:dyDescent="0.2">
      <c r="A34" s="7">
        <v>32</v>
      </c>
      <c r="B34" s="7">
        <v>2950</v>
      </c>
      <c r="C34" s="7">
        <v>64</v>
      </c>
      <c r="D34" s="7">
        <v>180000</v>
      </c>
      <c r="E34" s="7">
        <v>1950</v>
      </c>
      <c r="F34" s="7">
        <v>1000</v>
      </c>
      <c r="G34" s="7">
        <v>2400</v>
      </c>
      <c r="H34" s="17">
        <v>4.4999999999999998E-2</v>
      </c>
      <c r="I34" s="7">
        <v>4150000</v>
      </c>
      <c r="J34" s="7">
        <v>3850</v>
      </c>
      <c r="K34" s="7">
        <v>147000</v>
      </c>
      <c r="L34" s="7">
        <v>122000</v>
      </c>
      <c r="M34" s="7">
        <v>12500</v>
      </c>
      <c r="N34" s="7">
        <v>10000</v>
      </c>
      <c r="O34" s="7">
        <v>23000</v>
      </c>
      <c r="P34" s="7">
        <v>3100</v>
      </c>
      <c r="Q34" s="7">
        <v>98000</v>
      </c>
      <c r="R34" s="7">
        <v>24500</v>
      </c>
      <c r="S34" s="7">
        <v>10600</v>
      </c>
      <c r="T34" s="7">
        <v>17500</v>
      </c>
      <c r="U34" s="7">
        <v>70</v>
      </c>
      <c r="V34" s="7">
        <v>0.79</v>
      </c>
      <c r="W34" s="7">
        <v>0.69</v>
      </c>
      <c r="X34" s="7">
        <v>22.222222222222221</v>
      </c>
      <c r="Y34" s="7">
        <v>1228.8888888888889</v>
      </c>
      <c r="Z34" s="7">
        <v>3.5421686746988E-2</v>
      </c>
      <c r="AA34" s="7">
        <v>1.1573236889692584</v>
      </c>
    </row>
    <row r="35" spans="1:27" x14ac:dyDescent="0.2">
      <c r="A35" s="7">
        <v>33</v>
      </c>
      <c r="B35" s="7">
        <v>3000</v>
      </c>
      <c r="C35" s="7">
        <v>63</v>
      </c>
      <c r="D35" s="7">
        <v>182000</v>
      </c>
      <c r="E35" s="7">
        <v>2000</v>
      </c>
      <c r="F35" s="7">
        <v>1000</v>
      </c>
      <c r="G35" s="7">
        <v>2450</v>
      </c>
      <c r="H35" s="17">
        <v>4.2000000000000003E-2</v>
      </c>
      <c r="I35" s="7">
        <v>4300000</v>
      </c>
      <c r="J35" s="7">
        <v>4000</v>
      </c>
      <c r="K35" s="7">
        <v>153000</v>
      </c>
      <c r="L35" s="7">
        <v>127000</v>
      </c>
      <c r="M35" s="7">
        <v>12800</v>
      </c>
      <c r="N35" s="7">
        <v>9800</v>
      </c>
      <c r="O35" s="7">
        <v>23500</v>
      </c>
      <c r="P35" s="7">
        <v>3300</v>
      </c>
      <c r="Q35" s="7">
        <v>100000</v>
      </c>
      <c r="R35" s="7">
        <v>25000</v>
      </c>
      <c r="S35" s="7">
        <v>10800</v>
      </c>
      <c r="T35" s="7">
        <v>18200</v>
      </c>
      <c r="U35" s="7">
        <v>71</v>
      </c>
      <c r="V35" s="7">
        <v>0.8</v>
      </c>
      <c r="W35" s="7">
        <v>0.7</v>
      </c>
      <c r="X35" s="7">
        <v>23.809523809523807</v>
      </c>
      <c r="Y35" s="7">
        <v>1352.3809523809523</v>
      </c>
      <c r="Z35" s="7">
        <v>3.5581395348837197E-2</v>
      </c>
      <c r="AA35" s="7">
        <v>1.1091549295774648</v>
      </c>
    </row>
    <row r="36" spans="1:27" x14ac:dyDescent="0.2">
      <c r="A36" s="7">
        <v>34</v>
      </c>
      <c r="B36" s="7">
        <v>3100</v>
      </c>
      <c r="C36" s="7">
        <v>62</v>
      </c>
      <c r="D36" s="7">
        <v>185000</v>
      </c>
      <c r="E36" s="7">
        <v>2050</v>
      </c>
      <c r="F36" s="7">
        <v>1050</v>
      </c>
      <c r="G36" s="7">
        <v>2520</v>
      </c>
      <c r="H36" s="17">
        <v>0.04</v>
      </c>
      <c r="I36" s="7">
        <v>4450000</v>
      </c>
      <c r="J36" s="7">
        <v>4150</v>
      </c>
      <c r="K36" s="7">
        <v>159000</v>
      </c>
      <c r="L36" s="7">
        <v>132000</v>
      </c>
      <c r="M36" s="7">
        <v>13200</v>
      </c>
      <c r="N36" s="7">
        <v>9600</v>
      </c>
      <c r="O36" s="7">
        <v>23800</v>
      </c>
      <c r="P36" s="7">
        <v>3500</v>
      </c>
      <c r="Q36" s="7">
        <v>102000</v>
      </c>
      <c r="R36" s="7">
        <v>25500</v>
      </c>
      <c r="S36" s="7">
        <v>11000</v>
      </c>
      <c r="T36" s="7">
        <v>18800</v>
      </c>
      <c r="U36" s="7">
        <v>72</v>
      </c>
      <c r="V36" s="7">
        <v>0.81</v>
      </c>
      <c r="W36" s="7">
        <v>0.71</v>
      </c>
      <c r="X36" s="7">
        <v>25</v>
      </c>
      <c r="Y36" s="7">
        <v>1458</v>
      </c>
      <c r="Z36" s="7">
        <v>3.5730337078651697E-2</v>
      </c>
      <c r="AA36" s="7">
        <v>1.063100137174211</v>
      </c>
    </row>
    <row r="37" spans="1:27" x14ac:dyDescent="0.2">
      <c r="A37" s="7">
        <v>35</v>
      </c>
      <c r="B37" s="7">
        <v>3200</v>
      </c>
      <c r="C37" s="7">
        <v>61</v>
      </c>
      <c r="D37" s="7">
        <v>188000</v>
      </c>
      <c r="E37" s="7">
        <v>2120</v>
      </c>
      <c r="F37" s="7">
        <v>1080</v>
      </c>
      <c r="G37" s="7">
        <v>2600</v>
      </c>
      <c r="H37" s="17">
        <v>3.7999999999999999E-2</v>
      </c>
      <c r="I37" s="7">
        <v>4650000</v>
      </c>
      <c r="J37" s="7">
        <v>4300</v>
      </c>
      <c r="K37" s="7">
        <v>166000</v>
      </c>
      <c r="L37" s="7">
        <v>138000</v>
      </c>
      <c r="M37" s="7">
        <v>13800</v>
      </c>
      <c r="N37" s="7">
        <v>9800</v>
      </c>
      <c r="O37" s="7">
        <v>24200</v>
      </c>
      <c r="P37" s="7">
        <v>3600</v>
      </c>
      <c r="Q37" s="7">
        <v>104000</v>
      </c>
      <c r="R37" s="7">
        <v>26000</v>
      </c>
      <c r="S37" s="7">
        <v>11200</v>
      </c>
      <c r="T37" s="7">
        <v>19500</v>
      </c>
      <c r="U37" s="7">
        <v>74</v>
      </c>
      <c r="V37" s="7">
        <v>0.82</v>
      </c>
      <c r="W37" s="7">
        <v>0.73</v>
      </c>
      <c r="X37" s="7">
        <v>26.315789473684212</v>
      </c>
      <c r="Y37" s="7">
        <v>1596.8421052631579</v>
      </c>
      <c r="Z37" s="7">
        <v>3.5698924731182802E-2</v>
      </c>
      <c r="AA37" s="7">
        <v>1.0052735662491761</v>
      </c>
    </row>
    <row r="38" spans="1:27" x14ac:dyDescent="0.2">
      <c r="A38" s="18">
        <v>36</v>
      </c>
      <c r="B38" s="18">
        <v>3350</v>
      </c>
      <c r="C38" s="18">
        <v>60</v>
      </c>
      <c r="D38" s="18">
        <v>190000</v>
      </c>
      <c r="E38" s="18">
        <v>2200</v>
      </c>
      <c r="F38" s="18">
        <v>1150</v>
      </c>
      <c r="G38" s="18">
        <v>2720</v>
      </c>
      <c r="H38" s="19">
        <v>3.5000000000000003E-2</v>
      </c>
      <c r="I38" s="18">
        <v>4900000</v>
      </c>
      <c r="J38" s="18">
        <v>4520</v>
      </c>
      <c r="K38" s="18">
        <v>175000</v>
      </c>
      <c r="L38" s="18">
        <v>146000</v>
      </c>
      <c r="M38" s="18">
        <v>14500</v>
      </c>
      <c r="N38" s="18">
        <v>9900</v>
      </c>
      <c r="O38" s="18">
        <v>24500</v>
      </c>
      <c r="P38" s="18">
        <v>3800</v>
      </c>
      <c r="Q38" s="18">
        <v>110000</v>
      </c>
      <c r="R38" s="18">
        <v>27500</v>
      </c>
      <c r="S38" s="18">
        <v>11500</v>
      </c>
      <c r="T38" s="18">
        <v>20000</v>
      </c>
      <c r="U38" s="18">
        <v>76</v>
      </c>
      <c r="V38" s="18">
        <v>0.83</v>
      </c>
      <c r="W38" s="18">
        <v>0.74</v>
      </c>
      <c r="X38" s="18">
        <v>28.571428571428569</v>
      </c>
      <c r="Y38" s="18">
        <v>1802.285714285714</v>
      </c>
      <c r="Z38" s="18">
        <v>3.5714285714285698E-2</v>
      </c>
      <c r="AA38" s="18">
        <v>0.95117311350665823</v>
      </c>
    </row>
    <row r="39" spans="1:27" x14ac:dyDescent="0.2">
      <c r="B39" s="9"/>
      <c r="C39" s="9"/>
      <c r="D39" s="9"/>
      <c r="E39" s="9"/>
      <c r="F39" s="9"/>
      <c r="G39" s="9"/>
      <c r="H39" s="9"/>
      <c r="I39" s="9"/>
      <c r="J39" s="9"/>
      <c r="K39" s="9"/>
      <c r="L39" s="9"/>
      <c r="M39" s="9"/>
      <c r="N39" s="9"/>
      <c r="O39" s="9"/>
      <c r="P39" s="9"/>
      <c r="Q39" s="9"/>
      <c r="R39" s="9"/>
      <c r="S39" s="9"/>
      <c r="T39" s="9"/>
    </row>
    <row r="40" spans="1:27" x14ac:dyDescent="0.2">
      <c r="B40" s="9"/>
      <c r="C40" s="9"/>
      <c r="D40" s="26"/>
      <c r="E40" s="9"/>
      <c r="F40" s="9"/>
      <c r="G40" s="26"/>
      <c r="H40" s="52"/>
      <c r="I40" s="52"/>
      <c r="J40" s="9"/>
      <c r="K40" s="9"/>
      <c r="L40" s="9"/>
      <c r="M40" s="9"/>
      <c r="N40" s="9"/>
      <c r="O40" s="9"/>
      <c r="P40" s="9"/>
      <c r="Q40" s="9"/>
      <c r="R40" s="9"/>
      <c r="S40" s="9"/>
      <c r="T40" s="9"/>
    </row>
    <row r="41" spans="1:27" x14ac:dyDescent="0.2">
      <c r="B41" s="9"/>
      <c r="C41" s="9"/>
      <c r="D41" s="9"/>
      <c r="E41" s="52"/>
      <c r="F41" s="52"/>
      <c r="G41" s="9"/>
      <c r="H41" s="9"/>
      <c r="I41" s="26"/>
      <c r="J41" s="26"/>
      <c r="K41" s="25"/>
      <c r="L41" s="9"/>
      <c r="M41" s="9"/>
      <c r="N41" s="9"/>
      <c r="O41" s="9"/>
      <c r="P41" s="9"/>
      <c r="Q41" s="9"/>
      <c r="R41" s="9"/>
      <c r="S41" s="9"/>
      <c r="T41" s="9"/>
    </row>
    <row r="42" spans="1:27" x14ac:dyDescent="0.2">
      <c r="B42" s="9"/>
      <c r="C42" s="9"/>
      <c r="D42" s="13"/>
      <c r="E42" s="52"/>
      <c r="F42" s="9"/>
      <c r="G42" s="9"/>
      <c r="H42" s="9"/>
      <c r="I42" s="26"/>
      <c r="J42" s="26"/>
      <c r="K42" s="25"/>
      <c r="L42" s="9"/>
      <c r="M42" s="9"/>
      <c r="N42" s="9"/>
      <c r="O42" s="25"/>
      <c r="P42" s="9"/>
      <c r="Q42" s="9"/>
      <c r="R42" s="9"/>
      <c r="S42" s="9"/>
      <c r="T42" s="9"/>
    </row>
    <row r="43" spans="1:27" x14ac:dyDescent="0.2">
      <c r="B43" s="9"/>
      <c r="C43" s="9"/>
      <c r="D43" s="9"/>
      <c r="E43" s="52"/>
      <c r="F43" s="9"/>
      <c r="G43" s="9"/>
      <c r="H43" s="9"/>
      <c r="I43" s="39"/>
      <c r="J43" s="26"/>
      <c r="K43" s="9"/>
      <c r="L43" s="26"/>
      <c r="M43" s="9"/>
      <c r="N43" s="9"/>
      <c r="O43" s="25"/>
      <c r="P43" s="9"/>
      <c r="Q43" s="9"/>
      <c r="R43" s="9"/>
      <c r="S43" s="9"/>
      <c r="T43" s="9"/>
    </row>
    <row r="44" spans="1:27" x14ac:dyDescent="0.2">
      <c r="B44" s="9"/>
      <c r="C44" s="9"/>
      <c r="D44" s="26"/>
      <c r="E44" s="26"/>
      <c r="F44" s="52"/>
      <c r="G44" s="26"/>
      <c r="H44" s="52"/>
      <c r="I44" s="52"/>
      <c r="J44" s="26"/>
      <c r="K44" s="9"/>
      <c r="L44" s="9"/>
      <c r="M44" s="9"/>
      <c r="N44" s="9"/>
      <c r="O44" s="9"/>
      <c r="P44" s="9"/>
      <c r="Q44" s="9"/>
      <c r="R44" s="9"/>
      <c r="S44" s="9"/>
      <c r="T44" s="9"/>
    </row>
    <row r="45" spans="1:27" x14ac:dyDescent="0.2">
      <c r="B45" s="9"/>
      <c r="C45" s="9"/>
      <c r="D45" s="9"/>
      <c r="E45" s="26"/>
      <c r="F45" s="52"/>
      <c r="G45" s="26"/>
      <c r="H45" s="52"/>
      <c r="I45" s="9"/>
      <c r="J45" s="26"/>
      <c r="K45" s="9"/>
      <c r="L45" s="9"/>
      <c r="M45" s="9"/>
      <c r="N45" s="9"/>
      <c r="O45" s="9"/>
      <c r="P45" s="9"/>
      <c r="Q45" s="9"/>
      <c r="R45" s="9"/>
      <c r="S45" s="9"/>
      <c r="T45" s="9"/>
    </row>
    <row r="46" spans="1:27" x14ac:dyDescent="0.2">
      <c r="B46" s="9"/>
      <c r="C46" s="9"/>
      <c r="D46" s="9"/>
      <c r="E46" s="26"/>
      <c r="F46" s="52"/>
      <c r="G46" s="26"/>
      <c r="H46" s="52"/>
      <c r="I46" s="9"/>
      <c r="J46" s="26"/>
      <c r="K46" s="9"/>
      <c r="L46" s="9"/>
      <c r="M46" s="9"/>
      <c r="N46" s="9"/>
      <c r="O46" s="9"/>
      <c r="P46" s="9"/>
      <c r="Q46" s="9"/>
      <c r="R46" s="9"/>
      <c r="S46" s="9"/>
      <c r="T46" s="9"/>
    </row>
    <row r="47" spans="1:27" x14ac:dyDescent="0.2">
      <c r="B47" s="9"/>
      <c r="C47" s="9"/>
      <c r="D47" s="9"/>
      <c r="E47" s="26"/>
      <c r="F47" s="52"/>
      <c r="G47" s="26"/>
      <c r="H47" s="52"/>
      <c r="I47" s="9"/>
      <c r="J47" s="26"/>
      <c r="K47" s="9"/>
      <c r="L47" s="9"/>
      <c r="M47" s="9"/>
      <c r="N47" s="9"/>
      <c r="O47" s="9"/>
      <c r="P47" s="9"/>
      <c r="Q47" s="9"/>
      <c r="R47" s="9"/>
      <c r="S47" s="9"/>
      <c r="T47" s="9"/>
    </row>
    <row r="48" spans="1:27" x14ac:dyDescent="0.2">
      <c r="B48" s="9"/>
      <c r="C48" s="9"/>
      <c r="D48" s="9"/>
      <c r="E48" s="26"/>
      <c r="F48" s="52"/>
      <c r="G48" s="26"/>
      <c r="H48" s="52"/>
      <c r="I48" s="9"/>
      <c r="J48" s="26"/>
      <c r="K48" s="9"/>
      <c r="L48" s="9"/>
      <c r="M48" s="9"/>
      <c r="N48" s="9"/>
      <c r="O48" s="9"/>
      <c r="P48" s="9"/>
      <c r="Q48" s="9"/>
      <c r="R48" s="9"/>
      <c r="S48" s="9"/>
      <c r="T48" s="9"/>
    </row>
    <row r="49" spans="2:20" x14ac:dyDescent="0.2">
      <c r="B49" s="9"/>
      <c r="C49" s="9"/>
      <c r="D49" s="9"/>
      <c r="E49" s="26"/>
      <c r="F49" s="52"/>
      <c r="G49" s="26"/>
      <c r="H49" s="52"/>
      <c r="I49" s="9"/>
      <c r="J49" s="26"/>
      <c r="K49" s="9"/>
      <c r="L49" s="9"/>
      <c r="M49" s="9"/>
      <c r="N49" s="9"/>
      <c r="O49" s="9"/>
      <c r="P49" s="9"/>
      <c r="Q49" s="9"/>
      <c r="R49" s="9"/>
      <c r="S49" s="9"/>
      <c r="T49" s="9"/>
    </row>
    <row r="50" spans="2:20" x14ac:dyDescent="0.2">
      <c r="B50" s="9"/>
      <c r="C50" s="9"/>
      <c r="D50" s="9"/>
      <c r="E50" s="26"/>
      <c r="F50" s="52"/>
      <c r="G50" s="26"/>
      <c r="H50" s="52"/>
      <c r="I50" s="9"/>
      <c r="J50" s="26"/>
      <c r="K50" s="9"/>
      <c r="L50" s="9"/>
      <c r="M50" s="9"/>
      <c r="N50" s="9"/>
      <c r="O50" s="9"/>
      <c r="P50" s="9"/>
      <c r="Q50" s="9"/>
      <c r="R50" s="9"/>
      <c r="S50" s="9"/>
      <c r="T50" s="9"/>
    </row>
    <row r="51" spans="2:20" x14ac:dyDescent="0.2">
      <c r="B51" s="9"/>
      <c r="C51" s="13"/>
      <c r="D51" s="13"/>
      <c r="E51" s="26"/>
      <c r="F51" s="52"/>
      <c r="G51" s="26"/>
      <c r="H51" s="52"/>
      <c r="I51" s="13"/>
      <c r="J51" s="13"/>
      <c r="K51" s="13"/>
      <c r="L51" s="13"/>
      <c r="M51" s="13"/>
      <c r="N51" s="13"/>
      <c r="O51" s="13"/>
      <c r="P51" s="13"/>
      <c r="Q51" s="13"/>
      <c r="R51" s="13"/>
      <c r="S51" s="13"/>
      <c r="T51" s="13"/>
    </row>
    <row r="52" spans="2:20" x14ac:dyDescent="0.2">
      <c r="B52" s="9"/>
      <c r="E52" s="26"/>
      <c r="F52" s="52"/>
      <c r="G52" s="26"/>
      <c r="H52" s="52"/>
    </row>
    <row r="53" spans="2:20" x14ac:dyDescent="0.2">
      <c r="B53" s="3"/>
      <c r="E53" s="26"/>
      <c r="F53" s="52"/>
      <c r="G53" s="26"/>
      <c r="H53" s="52"/>
    </row>
    <row r="54" spans="2:20" x14ac:dyDescent="0.2">
      <c r="E54" s="26"/>
      <c r="F54" s="52"/>
      <c r="G54" s="26"/>
      <c r="H54" s="52"/>
    </row>
    <row r="55" spans="2:20" x14ac:dyDescent="0.2">
      <c r="E55" s="26"/>
      <c r="F55" s="52"/>
      <c r="G55" s="26"/>
      <c r="H55" s="52"/>
    </row>
    <row r="56" spans="2:20" x14ac:dyDescent="0.2">
      <c r="F56" s="52"/>
    </row>
    <row r="57" spans="2:20" x14ac:dyDescent="0.2">
      <c r="F57" s="9"/>
      <c r="G57" s="9"/>
      <c r="H57" s="9"/>
    </row>
    <row r="58" spans="2:20" x14ac:dyDescent="0.2">
      <c r="F58" s="9"/>
    </row>
    <row r="59" spans="2:20" x14ac:dyDescent="0.2">
      <c r="F59" s="52"/>
    </row>
    <row r="60" spans="2:20" x14ac:dyDescent="0.2">
      <c r="F60" s="9"/>
    </row>
    <row r="61" spans="2:20" x14ac:dyDescent="0.2">
      <c r="F61" s="9"/>
    </row>
    <row r="62" spans="2:20" x14ac:dyDescent="0.2">
      <c r="F62" s="9"/>
    </row>
    <row r="63" spans="2:20" x14ac:dyDescent="0.2">
      <c r="F63" s="9"/>
    </row>
    <row r="64" spans="2:20" x14ac:dyDescent="0.2">
      <c r="F64" s="9"/>
    </row>
    <row r="65" spans="2:6" x14ac:dyDescent="0.2">
      <c r="F65" s="9"/>
    </row>
    <row r="66" spans="2:6" x14ac:dyDescent="0.2">
      <c r="B66" s="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4EFE-1792-284F-AB87-D48958F1E77B}">
  <sheetPr>
    <tabColor rgb="FFFFFF00"/>
  </sheetPr>
  <dimension ref="A1:AM37"/>
  <sheetViews>
    <sheetView showGridLines="0" topLeftCell="T1" zoomScale="84" zoomScaleNormal="138" workbookViewId="0">
      <selection activeCell="AM4" sqref="AM4"/>
    </sheetView>
  </sheetViews>
  <sheetFormatPr baseColWidth="10" defaultRowHeight="16" x14ac:dyDescent="0.2"/>
  <cols>
    <col min="2" max="2" width="15.83203125" customWidth="1"/>
    <col min="38" max="38" width="23.5" customWidth="1"/>
    <col min="39" max="39" width="15" customWidth="1"/>
  </cols>
  <sheetData>
    <row r="1" spans="1:39" x14ac:dyDescent="0.2">
      <c r="A1" s="61" t="s">
        <v>25</v>
      </c>
      <c r="B1" s="62" t="s">
        <v>115</v>
      </c>
      <c r="C1" s="62" t="s">
        <v>117</v>
      </c>
      <c r="D1" s="62" t="s">
        <v>118</v>
      </c>
      <c r="E1" s="62" t="s">
        <v>29</v>
      </c>
      <c r="F1" s="62" t="s">
        <v>30</v>
      </c>
      <c r="G1" s="62" t="s">
        <v>31</v>
      </c>
      <c r="H1" s="62" t="s">
        <v>32</v>
      </c>
      <c r="I1" s="62" t="s">
        <v>33</v>
      </c>
      <c r="J1" s="62" t="s">
        <v>34</v>
      </c>
      <c r="K1" s="62" t="s">
        <v>35</v>
      </c>
      <c r="L1" s="62" t="s">
        <v>36</v>
      </c>
      <c r="M1" s="62" t="s">
        <v>37</v>
      </c>
      <c r="N1" s="62" t="s">
        <v>38</v>
      </c>
      <c r="O1" s="62" t="s">
        <v>39</v>
      </c>
      <c r="P1" s="62" t="s">
        <v>40</v>
      </c>
      <c r="Q1" s="62" t="s">
        <v>41</v>
      </c>
      <c r="R1" s="62" t="s">
        <v>42</v>
      </c>
      <c r="S1" s="62" t="s">
        <v>43</v>
      </c>
      <c r="T1" s="62" t="s">
        <v>44</v>
      </c>
      <c r="U1" s="62" t="s">
        <v>45</v>
      </c>
      <c r="V1" s="62" t="s">
        <v>46</v>
      </c>
      <c r="W1" s="62" t="s">
        <v>47</v>
      </c>
      <c r="X1" s="62" t="s">
        <v>48</v>
      </c>
      <c r="Y1" s="62" t="s">
        <v>49</v>
      </c>
      <c r="Z1" s="62" t="s">
        <v>50</v>
      </c>
      <c r="AA1" s="62" t="s">
        <v>51</v>
      </c>
      <c r="AB1" s="62" t="s">
        <v>52</v>
      </c>
      <c r="AC1" s="62" t="s">
        <v>53</v>
      </c>
      <c r="AD1" s="62" t="s">
        <v>54</v>
      </c>
      <c r="AE1" s="62" t="s">
        <v>55</v>
      </c>
      <c r="AF1" s="62" t="s">
        <v>56</v>
      </c>
      <c r="AG1" s="62" t="s">
        <v>57</v>
      </c>
      <c r="AH1" s="62" t="s">
        <v>58</v>
      </c>
      <c r="AI1" s="62" t="s">
        <v>59</v>
      </c>
      <c r="AJ1" s="62" t="s">
        <v>60</v>
      </c>
      <c r="AK1" s="62" t="s">
        <v>61</v>
      </c>
      <c r="AL1" s="62" t="s">
        <v>116</v>
      </c>
      <c r="AM1" s="51" t="s">
        <v>119</v>
      </c>
    </row>
    <row r="2" spans="1:39" x14ac:dyDescent="0.2">
      <c r="A2" s="60">
        <v>1</v>
      </c>
      <c r="B2">
        <v>950</v>
      </c>
      <c r="C2">
        <v>893</v>
      </c>
      <c r="D2">
        <v>839</v>
      </c>
      <c r="E2">
        <v>788</v>
      </c>
      <c r="F2">
        <v>740</v>
      </c>
      <c r="G2">
        <v>695</v>
      </c>
      <c r="H2">
        <v>653</v>
      </c>
      <c r="I2">
        <v>613</v>
      </c>
      <c r="J2">
        <v>576</v>
      </c>
      <c r="K2">
        <v>541</v>
      </c>
      <c r="L2">
        <v>508</v>
      </c>
      <c r="M2">
        <v>477</v>
      </c>
      <c r="N2">
        <v>448</v>
      </c>
      <c r="O2">
        <v>421</v>
      </c>
      <c r="P2">
        <v>395</v>
      </c>
      <c r="Q2">
        <v>371</v>
      </c>
      <c r="R2">
        <v>348</v>
      </c>
      <c r="S2">
        <v>327</v>
      </c>
      <c r="T2">
        <v>307</v>
      </c>
      <c r="U2">
        <v>288</v>
      </c>
      <c r="V2">
        <v>270</v>
      </c>
      <c r="W2">
        <v>253</v>
      </c>
      <c r="X2">
        <v>237</v>
      </c>
      <c r="Y2">
        <v>222</v>
      </c>
      <c r="Z2">
        <v>208</v>
      </c>
      <c r="AA2">
        <v>195</v>
      </c>
      <c r="AB2">
        <v>183</v>
      </c>
      <c r="AC2">
        <v>172</v>
      </c>
      <c r="AD2">
        <v>161</v>
      </c>
      <c r="AE2">
        <v>151</v>
      </c>
      <c r="AF2">
        <v>141</v>
      </c>
      <c r="AG2">
        <v>132</v>
      </c>
      <c r="AH2">
        <v>124</v>
      </c>
      <c r="AI2">
        <v>116</v>
      </c>
      <c r="AJ2">
        <v>109</v>
      </c>
      <c r="AK2">
        <v>102</v>
      </c>
      <c r="AL2">
        <v>95</v>
      </c>
      <c r="AM2" s="63">
        <v>0.06</v>
      </c>
    </row>
    <row r="3" spans="1:39" x14ac:dyDescent="0.2">
      <c r="A3" s="60">
        <v>2</v>
      </c>
      <c r="B3">
        <v>1020</v>
      </c>
      <c r="C3">
        <v>0</v>
      </c>
      <c r="D3">
        <v>958</v>
      </c>
      <c r="E3">
        <v>900</v>
      </c>
      <c r="F3">
        <v>846</v>
      </c>
      <c r="G3">
        <v>795</v>
      </c>
      <c r="H3">
        <v>747</v>
      </c>
      <c r="I3">
        <v>702</v>
      </c>
      <c r="J3">
        <v>659</v>
      </c>
      <c r="K3">
        <v>619</v>
      </c>
      <c r="L3">
        <v>581</v>
      </c>
      <c r="M3">
        <v>546</v>
      </c>
      <c r="N3">
        <v>513</v>
      </c>
      <c r="O3">
        <v>482</v>
      </c>
      <c r="P3">
        <v>453</v>
      </c>
      <c r="Q3">
        <v>425</v>
      </c>
      <c r="R3">
        <v>399</v>
      </c>
      <c r="S3">
        <v>375</v>
      </c>
      <c r="T3">
        <v>352</v>
      </c>
      <c r="U3">
        <v>330</v>
      </c>
      <c r="V3">
        <v>310</v>
      </c>
      <c r="W3">
        <v>291</v>
      </c>
      <c r="X3">
        <v>273</v>
      </c>
      <c r="Y3">
        <v>256</v>
      </c>
      <c r="Z3">
        <v>240</v>
      </c>
      <c r="AA3">
        <v>225</v>
      </c>
      <c r="AB3">
        <v>211</v>
      </c>
      <c r="AC3">
        <v>198</v>
      </c>
      <c r="AD3">
        <v>186</v>
      </c>
      <c r="AE3">
        <v>174</v>
      </c>
      <c r="AF3">
        <v>163</v>
      </c>
      <c r="AG3">
        <v>153</v>
      </c>
      <c r="AH3">
        <v>143</v>
      </c>
      <c r="AI3">
        <v>134</v>
      </c>
      <c r="AJ3">
        <v>125</v>
      </c>
      <c r="AK3">
        <v>117</v>
      </c>
      <c r="AL3">
        <v>109</v>
      </c>
      <c r="AM3" s="63">
        <v>5.8900000000000001E-2</v>
      </c>
    </row>
    <row r="4" spans="1:39" x14ac:dyDescent="0.2">
      <c r="A4" s="60">
        <v>3</v>
      </c>
      <c r="B4">
        <v>1080</v>
      </c>
      <c r="C4">
        <v>0</v>
      </c>
      <c r="D4">
        <v>0</v>
      </c>
      <c r="E4">
        <v>1015</v>
      </c>
      <c r="F4">
        <v>954</v>
      </c>
      <c r="G4">
        <v>896</v>
      </c>
      <c r="H4">
        <v>842</v>
      </c>
      <c r="I4">
        <v>791</v>
      </c>
      <c r="J4">
        <v>743</v>
      </c>
      <c r="K4">
        <v>698</v>
      </c>
      <c r="L4">
        <v>656</v>
      </c>
      <c r="M4">
        <v>616</v>
      </c>
      <c r="N4">
        <v>579</v>
      </c>
      <c r="O4">
        <v>544</v>
      </c>
      <c r="P4">
        <v>511</v>
      </c>
      <c r="Q4">
        <v>480</v>
      </c>
      <c r="R4">
        <v>451</v>
      </c>
      <c r="S4">
        <v>423</v>
      </c>
      <c r="T4">
        <v>397</v>
      </c>
      <c r="U4">
        <v>373</v>
      </c>
      <c r="V4">
        <v>350</v>
      </c>
      <c r="W4">
        <v>329</v>
      </c>
      <c r="X4">
        <v>309</v>
      </c>
      <c r="Y4">
        <v>290</v>
      </c>
      <c r="Z4">
        <v>272</v>
      </c>
      <c r="AA4">
        <v>255</v>
      </c>
      <c r="AB4">
        <v>239</v>
      </c>
      <c r="AC4">
        <v>224</v>
      </c>
      <c r="AD4">
        <v>210</v>
      </c>
      <c r="AE4">
        <v>197</v>
      </c>
      <c r="AF4">
        <v>185</v>
      </c>
      <c r="AG4">
        <v>173</v>
      </c>
      <c r="AH4">
        <v>162</v>
      </c>
      <c r="AI4">
        <v>152</v>
      </c>
      <c r="AJ4">
        <v>142</v>
      </c>
      <c r="AK4">
        <v>133</v>
      </c>
      <c r="AL4">
        <v>125</v>
      </c>
      <c r="AM4" s="63">
        <v>6.0499999999999998E-2</v>
      </c>
    </row>
    <row r="5" spans="1:39" x14ac:dyDescent="0.2">
      <c r="A5" s="60">
        <v>4</v>
      </c>
      <c r="B5">
        <v>1120</v>
      </c>
      <c r="C5">
        <v>0</v>
      </c>
      <c r="D5">
        <v>0</v>
      </c>
      <c r="E5">
        <v>0</v>
      </c>
      <c r="F5">
        <v>1052</v>
      </c>
      <c r="G5">
        <v>988</v>
      </c>
      <c r="H5">
        <v>928</v>
      </c>
      <c r="I5">
        <v>872</v>
      </c>
      <c r="J5">
        <v>819</v>
      </c>
      <c r="K5">
        <v>769</v>
      </c>
      <c r="L5">
        <v>722</v>
      </c>
      <c r="M5">
        <v>678</v>
      </c>
      <c r="N5">
        <v>637</v>
      </c>
      <c r="O5">
        <v>598</v>
      </c>
      <c r="P5">
        <v>562</v>
      </c>
      <c r="Q5">
        <v>528</v>
      </c>
      <c r="R5">
        <v>496</v>
      </c>
      <c r="S5">
        <v>466</v>
      </c>
      <c r="T5">
        <v>438</v>
      </c>
      <c r="U5">
        <v>411</v>
      </c>
      <c r="V5">
        <v>386</v>
      </c>
      <c r="W5">
        <v>362</v>
      </c>
      <c r="X5">
        <v>340</v>
      </c>
      <c r="Y5">
        <v>319</v>
      </c>
      <c r="Z5">
        <v>299</v>
      </c>
      <c r="AA5">
        <v>281</v>
      </c>
      <c r="AB5">
        <v>264</v>
      </c>
      <c r="AC5">
        <v>248</v>
      </c>
      <c r="AD5">
        <v>233</v>
      </c>
      <c r="AE5">
        <v>219</v>
      </c>
      <c r="AF5">
        <v>205</v>
      </c>
      <c r="AG5">
        <v>192</v>
      </c>
      <c r="AH5">
        <v>180</v>
      </c>
      <c r="AI5">
        <v>169</v>
      </c>
      <c r="AJ5">
        <v>158</v>
      </c>
      <c r="AK5">
        <v>148</v>
      </c>
      <c r="AL5">
        <v>139</v>
      </c>
      <c r="AM5" s="63">
        <v>6.0400000000000002E-2</v>
      </c>
    </row>
    <row r="6" spans="1:39" x14ac:dyDescent="0.2">
      <c r="A6" s="60">
        <v>5</v>
      </c>
      <c r="B6">
        <v>1250</v>
      </c>
      <c r="C6">
        <v>0</v>
      </c>
      <c r="D6">
        <v>0</v>
      </c>
      <c r="E6">
        <v>0</v>
      </c>
      <c r="F6">
        <v>0</v>
      </c>
      <c r="G6">
        <v>1175</v>
      </c>
      <c r="H6">
        <v>1104</v>
      </c>
      <c r="I6">
        <v>1037</v>
      </c>
      <c r="J6">
        <v>974</v>
      </c>
      <c r="K6">
        <v>915</v>
      </c>
      <c r="L6">
        <v>860</v>
      </c>
      <c r="M6">
        <v>808</v>
      </c>
      <c r="N6">
        <v>759</v>
      </c>
      <c r="O6">
        <v>713</v>
      </c>
      <c r="P6">
        <v>670</v>
      </c>
      <c r="Q6">
        <v>629</v>
      </c>
      <c r="R6">
        <v>591</v>
      </c>
      <c r="S6">
        <v>555</v>
      </c>
      <c r="T6">
        <v>521</v>
      </c>
      <c r="U6">
        <v>489</v>
      </c>
      <c r="V6">
        <v>459</v>
      </c>
      <c r="W6">
        <v>431</v>
      </c>
      <c r="X6">
        <v>405</v>
      </c>
      <c r="Y6">
        <v>380</v>
      </c>
      <c r="Z6">
        <v>357</v>
      </c>
      <c r="AA6">
        <v>335</v>
      </c>
      <c r="AB6">
        <v>314</v>
      </c>
      <c r="AC6">
        <v>295</v>
      </c>
      <c r="AD6">
        <v>277</v>
      </c>
      <c r="AE6">
        <v>260</v>
      </c>
      <c r="AF6">
        <v>244</v>
      </c>
      <c r="AG6">
        <v>229</v>
      </c>
      <c r="AH6">
        <v>215</v>
      </c>
      <c r="AI6">
        <v>202</v>
      </c>
      <c r="AJ6">
        <v>189</v>
      </c>
      <c r="AK6">
        <v>177</v>
      </c>
      <c r="AL6">
        <v>166</v>
      </c>
      <c r="AM6" s="63">
        <v>6.0499999999999998E-2</v>
      </c>
    </row>
    <row r="7" spans="1:39" x14ac:dyDescent="0.2">
      <c r="A7" s="60">
        <v>6</v>
      </c>
      <c r="B7">
        <v>1180</v>
      </c>
      <c r="C7">
        <v>0</v>
      </c>
      <c r="D7">
        <v>0</v>
      </c>
      <c r="E7">
        <v>0</v>
      </c>
      <c r="F7">
        <v>0</v>
      </c>
      <c r="G7">
        <v>0</v>
      </c>
      <c r="H7">
        <v>1109</v>
      </c>
      <c r="I7">
        <v>1042</v>
      </c>
      <c r="J7">
        <v>979</v>
      </c>
      <c r="K7">
        <v>920</v>
      </c>
      <c r="L7">
        <v>864</v>
      </c>
      <c r="M7">
        <v>812</v>
      </c>
      <c r="N7">
        <v>763</v>
      </c>
      <c r="O7">
        <v>717</v>
      </c>
      <c r="P7">
        <v>673</v>
      </c>
      <c r="Q7">
        <v>632</v>
      </c>
      <c r="R7">
        <v>594</v>
      </c>
      <c r="S7">
        <v>558</v>
      </c>
      <c r="T7">
        <v>524</v>
      </c>
      <c r="U7">
        <v>492</v>
      </c>
      <c r="V7">
        <v>462</v>
      </c>
      <c r="W7">
        <v>434</v>
      </c>
      <c r="X7">
        <v>407</v>
      </c>
      <c r="Y7">
        <v>382</v>
      </c>
      <c r="Z7">
        <v>359</v>
      </c>
      <c r="AA7">
        <v>337</v>
      </c>
      <c r="AB7">
        <v>316</v>
      </c>
      <c r="AC7">
        <v>297</v>
      </c>
      <c r="AD7">
        <v>279</v>
      </c>
      <c r="AE7">
        <v>262</v>
      </c>
      <c r="AF7">
        <v>246</v>
      </c>
      <c r="AG7">
        <v>231</v>
      </c>
      <c r="AH7">
        <v>217</v>
      </c>
      <c r="AI7">
        <v>203</v>
      </c>
      <c r="AJ7">
        <v>190</v>
      </c>
      <c r="AK7">
        <v>178</v>
      </c>
      <c r="AL7">
        <v>167</v>
      </c>
      <c r="AM7" s="63">
        <v>6.0400000000000002E-2</v>
      </c>
    </row>
    <row r="8" spans="1:39" x14ac:dyDescent="0.2">
      <c r="A8" s="60">
        <v>7</v>
      </c>
      <c r="B8">
        <v>1300</v>
      </c>
      <c r="C8">
        <v>0</v>
      </c>
      <c r="D8">
        <v>0</v>
      </c>
      <c r="E8">
        <v>0</v>
      </c>
      <c r="F8">
        <v>0</v>
      </c>
      <c r="G8">
        <v>0</v>
      </c>
      <c r="H8">
        <v>0</v>
      </c>
      <c r="I8">
        <v>1222</v>
      </c>
      <c r="J8">
        <v>1148</v>
      </c>
      <c r="K8">
        <v>1079</v>
      </c>
      <c r="L8">
        <v>1014</v>
      </c>
      <c r="M8">
        <v>953</v>
      </c>
      <c r="N8">
        <v>895</v>
      </c>
      <c r="O8">
        <v>841</v>
      </c>
      <c r="P8">
        <v>790</v>
      </c>
      <c r="Q8">
        <v>742</v>
      </c>
      <c r="R8">
        <v>697</v>
      </c>
      <c r="S8">
        <v>655</v>
      </c>
      <c r="T8">
        <v>615</v>
      </c>
      <c r="U8">
        <v>578</v>
      </c>
      <c r="V8">
        <v>543</v>
      </c>
      <c r="W8">
        <v>510</v>
      </c>
      <c r="X8">
        <v>479</v>
      </c>
      <c r="Y8">
        <v>450</v>
      </c>
      <c r="Z8">
        <v>423</v>
      </c>
      <c r="AA8">
        <v>397</v>
      </c>
      <c r="AB8">
        <v>373</v>
      </c>
      <c r="AC8">
        <v>350</v>
      </c>
      <c r="AD8">
        <v>329</v>
      </c>
      <c r="AE8">
        <v>309</v>
      </c>
      <c r="AF8">
        <v>290</v>
      </c>
      <c r="AG8">
        <v>272</v>
      </c>
      <c r="AH8">
        <v>255</v>
      </c>
      <c r="AI8">
        <v>239</v>
      </c>
      <c r="AJ8">
        <v>224</v>
      </c>
      <c r="AK8">
        <v>210</v>
      </c>
      <c r="AL8">
        <v>197</v>
      </c>
      <c r="AM8" s="63">
        <v>6.0400000000000002E-2</v>
      </c>
    </row>
    <row r="9" spans="1:39" x14ac:dyDescent="0.2">
      <c r="A9" s="60">
        <v>8</v>
      </c>
      <c r="B9">
        <v>1400</v>
      </c>
      <c r="C9">
        <v>0</v>
      </c>
      <c r="D9">
        <v>0</v>
      </c>
      <c r="E9">
        <v>0</v>
      </c>
      <c r="F9">
        <v>0</v>
      </c>
      <c r="G9">
        <v>0</v>
      </c>
      <c r="H9">
        <v>0</v>
      </c>
      <c r="I9">
        <v>0</v>
      </c>
      <c r="J9">
        <v>1316</v>
      </c>
      <c r="K9">
        <v>1237</v>
      </c>
      <c r="L9">
        <v>1162</v>
      </c>
      <c r="M9">
        <v>1092</v>
      </c>
      <c r="N9">
        <v>1026</v>
      </c>
      <c r="O9">
        <v>964</v>
      </c>
      <c r="P9">
        <v>906</v>
      </c>
      <c r="Q9">
        <v>851</v>
      </c>
      <c r="R9">
        <v>799</v>
      </c>
      <c r="S9">
        <v>751</v>
      </c>
      <c r="T9">
        <v>705</v>
      </c>
      <c r="U9">
        <v>662</v>
      </c>
      <c r="V9">
        <v>622</v>
      </c>
      <c r="W9">
        <v>584</v>
      </c>
      <c r="X9">
        <v>548</v>
      </c>
      <c r="Y9">
        <v>515</v>
      </c>
      <c r="Z9">
        <v>484</v>
      </c>
      <c r="AA9">
        <v>454</v>
      </c>
      <c r="AB9">
        <v>426</v>
      </c>
      <c r="AC9">
        <v>400</v>
      </c>
      <c r="AD9">
        <v>376</v>
      </c>
      <c r="AE9">
        <v>353</v>
      </c>
      <c r="AF9">
        <v>331</v>
      </c>
      <c r="AG9">
        <v>311</v>
      </c>
      <c r="AH9">
        <v>292</v>
      </c>
      <c r="AI9">
        <v>274</v>
      </c>
      <c r="AJ9">
        <v>257</v>
      </c>
      <c r="AK9">
        <v>241</v>
      </c>
      <c r="AL9">
        <v>226</v>
      </c>
      <c r="AM9" s="63">
        <v>6.0900000000000003E-2</v>
      </c>
    </row>
    <row r="10" spans="1:39" x14ac:dyDescent="0.2">
      <c r="A10" s="60">
        <v>9</v>
      </c>
      <c r="B10">
        <v>1350</v>
      </c>
      <c r="C10">
        <v>0</v>
      </c>
      <c r="D10">
        <v>0</v>
      </c>
      <c r="E10">
        <v>0</v>
      </c>
      <c r="F10">
        <v>0</v>
      </c>
      <c r="G10">
        <v>0</v>
      </c>
      <c r="H10">
        <v>0</v>
      </c>
      <c r="I10">
        <v>0</v>
      </c>
      <c r="J10">
        <v>0</v>
      </c>
      <c r="K10">
        <v>1269</v>
      </c>
      <c r="L10">
        <v>1192</v>
      </c>
      <c r="M10">
        <v>1120</v>
      </c>
      <c r="N10">
        <v>1052</v>
      </c>
      <c r="O10">
        <v>988</v>
      </c>
      <c r="P10">
        <v>928</v>
      </c>
      <c r="Q10">
        <v>872</v>
      </c>
      <c r="R10">
        <v>819</v>
      </c>
      <c r="S10">
        <v>769</v>
      </c>
      <c r="T10">
        <v>722</v>
      </c>
      <c r="U10">
        <v>678</v>
      </c>
      <c r="V10">
        <v>637</v>
      </c>
      <c r="W10">
        <v>598</v>
      </c>
      <c r="X10">
        <v>562</v>
      </c>
      <c r="Y10">
        <v>528</v>
      </c>
      <c r="Z10">
        <v>496</v>
      </c>
      <c r="AA10">
        <v>466</v>
      </c>
      <c r="AB10">
        <v>438</v>
      </c>
      <c r="AC10">
        <v>411</v>
      </c>
      <c r="AD10">
        <v>386</v>
      </c>
      <c r="AE10">
        <v>362</v>
      </c>
      <c r="AF10">
        <v>340</v>
      </c>
      <c r="AG10">
        <v>319</v>
      </c>
      <c r="AH10">
        <v>299</v>
      </c>
      <c r="AI10">
        <v>281</v>
      </c>
      <c r="AJ10">
        <v>264</v>
      </c>
      <c r="AK10">
        <v>248</v>
      </c>
      <c r="AL10">
        <v>233</v>
      </c>
      <c r="AM10" s="63">
        <v>6.0699999999999997E-2</v>
      </c>
    </row>
    <row r="11" spans="1:39" x14ac:dyDescent="0.2">
      <c r="A11" s="60">
        <v>10</v>
      </c>
      <c r="B11">
        <v>1500</v>
      </c>
      <c r="C11">
        <v>0</v>
      </c>
      <c r="D11">
        <v>0</v>
      </c>
      <c r="E11">
        <v>0</v>
      </c>
      <c r="F11">
        <v>0</v>
      </c>
      <c r="G11">
        <v>0</v>
      </c>
      <c r="H11">
        <v>0</v>
      </c>
      <c r="I11">
        <v>0</v>
      </c>
      <c r="J11">
        <v>0</v>
      </c>
      <c r="K11">
        <v>0</v>
      </c>
      <c r="L11">
        <v>1410</v>
      </c>
      <c r="M11">
        <v>1325</v>
      </c>
      <c r="N11">
        <v>1245</v>
      </c>
      <c r="O11">
        <v>1170</v>
      </c>
      <c r="P11">
        <v>1099</v>
      </c>
      <c r="Q11">
        <v>1033</v>
      </c>
      <c r="R11">
        <v>971</v>
      </c>
      <c r="S11">
        <v>912</v>
      </c>
      <c r="T11">
        <v>857</v>
      </c>
      <c r="U11">
        <v>805</v>
      </c>
      <c r="V11">
        <v>756</v>
      </c>
      <c r="W11">
        <v>710</v>
      </c>
      <c r="X11">
        <v>667</v>
      </c>
      <c r="Y11">
        <v>626</v>
      </c>
      <c r="Z11">
        <v>588</v>
      </c>
      <c r="AA11">
        <v>552</v>
      </c>
      <c r="AB11">
        <v>518</v>
      </c>
      <c r="AC11">
        <v>486</v>
      </c>
      <c r="AD11">
        <v>456</v>
      </c>
      <c r="AE11">
        <v>428</v>
      </c>
      <c r="AF11">
        <v>402</v>
      </c>
      <c r="AG11">
        <v>377</v>
      </c>
      <c r="AH11">
        <v>354</v>
      </c>
      <c r="AI11">
        <v>332</v>
      </c>
      <c r="AJ11">
        <v>312</v>
      </c>
      <c r="AK11">
        <v>293</v>
      </c>
      <c r="AL11">
        <v>275</v>
      </c>
      <c r="AM11" s="63">
        <v>6.0499999999999998E-2</v>
      </c>
    </row>
    <row r="12" spans="1:39" x14ac:dyDescent="0.2">
      <c r="A12" s="60">
        <v>11</v>
      </c>
      <c r="B12">
        <v>1420</v>
      </c>
      <c r="C12">
        <v>0</v>
      </c>
      <c r="D12">
        <v>0</v>
      </c>
      <c r="E12">
        <v>0</v>
      </c>
      <c r="F12">
        <v>0</v>
      </c>
      <c r="G12">
        <v>0</v>
      </c>
      <c r="H12">
        <v>0</v>
      </c>
      <c r="I12">
        <v>0</v>
      </c>
      <c r="J12">
        <v>0</v>
      </c>
      <c r="K12">
        <v>0</v>
      </c>
      <c r="L12">
        <v>0</v>
      </c>
      <c r="M12">
        <v>1334</v>
      </c>
      <c r="N12">
        <v>1253</v>
      </c>
      <c r="O12">
        <v>1177</v>
      </c>
      <c r="P12">
        <v>1106</v>
      </c>
      <c r="Q12">
        <v>1039</v>
      </c>
      <c r="R12">
        <v>976</v>
      </c>
      <c r="S12">
        <v>917</v>
      </c>
      <c r="T12">
        <v>861</v>
      </c>
      <c r="U12">
        <v>809</v>
      </c>
      <c r="V12">
        <v>760</v>
      </c>
      <c r="W12">
        <v>714</v>
      </c>
      <c r="X12">
        <v>671</v>
      </c>
      <c r="Y12">
        <v>630</v>
      </c>
      <c r="Z12">
        <v>592</v>
      </c>
      <c r="AA12">
        <v>556</v>
      </c>
      <c r="AB12">
        <v>522</v>
      </c>
      <c r="AC12">
        <v>490</v>
      </c>
      <c r="AD12">
        <v>460</v>
      </c>
      <c r="AE12">
        <v>432</v>
      </c>
      <c r="AF12">
        <v>406</v>
      </c>
      <c r="AG12">
        <v>381</v>
      </c>
      <c r="AH12">
        <v>358</v>
      </c>
      <c r="AI12">
        <v>336</v>
      </c>
      <c r="AJ12">
        <v>315</v>
      </c>
      <c r="AK12">
        <v>296</v>
      </c>
      <c r="AL12">
        <v>278</v>
      </c>
      <c r="AM12" s="63">
        <v>6.0299999999999999E-2</v>
      </c>
    </row>
    <row r="13" spans="1:39" x14ac:dyDescent="0.2">
      <c r="A13" s="60">
        <v>12</v>
      </c>
      <c r="B13">
        <v>1600</v>
      </c>
      <c r="C13">
        <v>0</v>
      </c>
      <c r="D13">
        <v>0</v>
      </c>
      <c r="E13">
        <v>0</v>
      </c>
      <c r="F13">
        <v>0</v>
      </c>
      <c r="G13">
        <v>0</v>
      </c>
      <c r="H13">
        <v>0</v>
      </c>
      <c r="I13">
        <v>0</v>
      </c>
      <c r="J13">
        <v>0</v>
      </c>
      <c r="K13">
        <v>0</v>
      </c>
      <c r="L13">
        <v>0</v>
      </c>
      <c r="M13">
        <v>0</v>
      </c>
      <c r="N13">
        <v>1504</v>
      </c>
      <c r="O13">
        <v>1413</v>
      </c>
      <c r="P13">
        <v>1328</v>
      </c>
      <c r="Q13">
        <v>1248</v>
      </c>
      <c r="R13">
        <v>1173</v>
      </c>
      <c r="S13">
        <v>1102</v>
      </c>
      <c r="T13">
        <v>1035</v>
      </c>
      <c r="U13">
        <v>972</v>
      </c>
      <c r="V13">
        <v>913</v>
      </c>
      <c r="W13">
        <v>858</v>
      </c>
      <c r="X13">
        <v>806</v>
      </c>
      <c r="Y13">
        <v>757</v>
      </c>
      <c r="Z13">
        <v>711</v>
      </c>
      <c r="AA13">
        <v>668</v>
      </c>
      <c r="AB13">
        <v>627</v>
      </c>
      <c r="AC13">
        <v>589</v>
      </c>
      <c r="AD13">
        <v>553</v>
      </c>
      <c r="AE13">
        <v>519</v>
      </c>
      <c r="AF13">
        <v>487</v>
      </c>
      <c r="AG13">
        <v>457</v>
      </c>
      <c r="AH13">
        <v>429</v>
      </c>
      <c r="AI13">
        <v>403</v>
      </c>
      <c r="AJ13">
        <v>378</v>
      </c>
      <c r="AK13">
        <v>355</v>
      </c>
      <c r="AL13">
        <v>333</v>
      </c>
      <c r="AM13" s="63">
        <v>6.0499999999999998E-2</v>
      </c>
    </row>
    <row r="14" spans="1:39" x14ac:dyDescent="0.2">
      <c r="A14" s="60">
        <v>13</v>
      </c>
      <c r="B14">
        <v>1700</v>
      </c>
      <c r="C14">
        <v>0</v>
      </c>
      <c r="D14">
        <v>0</v>
      </c>
      <c r="E14">
        <v>0</v>
      </c>
      <c r="F14">
        <v>0</v>
      </c>
      <c r="G14">
        <v>0</v>
      </c>
      <c r="H14">
        <v>0</v>
      </c>
      <c r="I14">
        <v>0</v>
      </c>
      <c r="J14">
        <v>0</v>
      </c>
      <c r="K14">
        <v>0</v>
      </c>
      <c r="L14">
        <v>0</v>
      </c>
      <c r="M14">
        <v>0</v>
      </c>
      <c r="N14">
        <v>0</v>
      </c>
      <c r="O14">
        <v>1598</v>
      </c>
      <c r="P14">
        <v>1502</v>
      </c>
      <c r="Q14">
        <v>1411</v>
      </c>
      <c r="R14">
        <v>1326</v>
      </c>
      <c r="S14">
        <v>1246</v>
      </c>
      <c r="T14">
        <v>1171</v>
      </c>
      <c r="U14">
        <v>1100</v>
      </c>
      <c r="V14">
        <v>1034</v>
      </c>
      <c r="W14">
        <v>971</v>
      </c>
      <c r="X14">
        <v>912</v>
      </c>
      <c r="Y14">
        <v>857</v>
      </c>
      <c r="Z14">
        <v>805</v>
      </c>
      <c r="AA14">
        <v>756</v>
      </c>
      <c r="AB14">
        <v>710</v>
      </c>
      <c r="AC14">
        <v>667</v>
      </c>
      <c r="AD14">
        <v>626</v>
      </c>
      <c r="AE14">
        <v>588</v>
      </c>
      <c r="AF14">
        <v>552</v>
      </c>
      <c r="AG14">
        <v>518</v>
      </c>
      <c r="AH14">
        <v>486</v>
      </c>
      <c r="AI14">
        <v>456</v>
      </c>
      <c r="AJ14">
        <v>428</v>
      </c>
      <c r="AK14">
        <v>402</v>
      </c>
      <c r="AL14">
        <v>377</v>
      </c>
      <c r="AM14" s="63">
        <v>0.06</v>
      </c>
    </row>
    <row r="15" spans="1:39" x14ac:dyDescent="0.2">
      <c r="A15" s="60">
        <v>14</v>
      </c>
      <c r="B15">
        <v>1620</v>
      </c>
      <c r="C15">
        <v>0</v>
      </c>
      <c r="D15">
        <v>0</v>
      </c>
      <c r="E15">
        <v>0</v>
      </c>
      <c r="F15">
        <v>0</v>
      </c>
      <c r="G15">
        <v>0</v>
      </c>
      <c r="H15">
        <v>0</v>
      </c>
      <c r="I15">
        <v>0</v>
      </c>
      <c r="J15">
        <v>0</v>
      </c>
      <c r="K15">
        <v>0</v>
      </c>
      <c r="L15">
        <v>0</v>
      </c>
      <c r="M15">
        <v>0</v>
      </c>
      <c r="N15">
        <v>0</v>
      </c>
      <c r="O15">
        <v>0</v>
      </c>
      <c r="P15">
        <v>1522</v>
      </c>
      <c r="Q15">
        <v>1430</v>
      </c>
      <c r="R15">
        <v>1344</v>
      </c>
      <c r="S15">
        <v>1263</v>
      </c>
      <c r="T15">
        <v>1187</v>
      </c>
      <c r="U15">
        <v>1115</v>
      </c>
      <c r="V15">
        <v>1048</v>
      </c>
      <c r="W15">
        <v>985</v>
      </c>
      <c r="X15">
        <v>925</v>
      </c>
      <c r="Y15">
        <v>869</v>
      </c>
      <c r="Z15">
        <v>816</v>
      </c>
      <c r="AA15">
        <v>767</v>
      </c>
      <c r="AB15">
        <v>720</v>
      </c>
      <c r="AC15">
        <v>676</v>
      </c>
      <c r="AD15">
        <v>635</v>
      </c>
      <c r="AE15">
        <v>596</v>
      </c>
      <c r="AF15">
        <v>560</v>
      </c>
      <c r="AG15">
        <v>526</v>
      </c>
      <c r="AH15">
        <v>494</v>
      </c>
      <c r="AI15">
        <v>464</v>
      </c>
      <c r="AJ15">
        <v>436</v>
      </c>
      <c r="AK15">
        <v>409</v>
      </c>
      <c r="AL15">
        <v>384</v>
      </c>
      <c r="AM15" s="63">
        <v>5.8700000000000002E-2</v>
      </c>
    </row>
    <row r="16" spans="1:39" x14ac:dyDescent="0.2">
      <c r="A16" s="60">
        <v>15</v>
      </c>
      <c r="B16">
        <v>1750</v>
      </c>
      <c r="C16">
        <v>0</v>
      </c>
      <c r="D16">
        <v>0</v>
      </c>
      <c r="E16">
        <v>0</v>
      </c>
      <c r="F16">
        <v>0</v>
      </c>
      <c r="G16">
        <v>0</v>
      </c>
      <c r="H16">
        <v>0</v>
      </c>
      <c r="I16">
        <v>0</v>
      </c>
      <c r="J16">
        <v>0</v>
      </c>
      <c r="K16">
        <v>0</v>
      </c>
      <c r="L16">
        <v>0</v>
      </c>
      <c r="M16">
        <v>0</v>
      </c>
      <c r="N16">
        <v>0</v>
      </c>
      <c r="O16">
        <v>0</v>
      </c>
      <c r="P16">
        <v>0</v>
      </c>
      <c r="Q16">
        <v>1645</v>
      </c>
      <c r="R16">
        <v>1546</v>
      </c>
      <c r="S16">
        <v>1453</v>
      </c>
      <c r="T16">
        <v>1365</v>
      </c>
      <c r="U16">
        <v>1283</v>
      </c>
      <c r="V16">
        <v>1206</v>
      </c>
      <c r="W16">
        <v>1133</v>
      </c>
      <c r="X16">
        <v>1065</v>
      </c>
      <c r="Y16">
        <v>1001</v>
      </c>
      <c r="Z16">
        <v>940</v>
      </c>
      <c r="AA16">
        <v>883</v>
      </c>
      <c r="AB16">
        <v>830</v>
      </c>
      <c r="AC16">
        <v>780</v>
      </c>
      <c r="AD16">
        <v>733</v>
      </c>
      <c r="AE16">
        <v>689</v>
      </c>
      <c r="AF16">
        <v>647</v>
      </c>
      <c r="AG16">
        <v>608</v>
      </c>
      <c r="AH16">
        <v>571</v>
      </c>
      <c r="AI16">
        <v>536</v>
      </c>
      <c r="AJ16">
        <v>503</v>
      </c>
      <c r="AK16">
        <v>472</v>
      </c>
      <c r="AL16">
        <v>443</v>
      </c>
      <c r="AM16" s="63">
        <v>5.7299999999999997E-2</v>
      </c>
    </row>
    <row r="17" spans="1:39" x14ac:dyDescent="0.2">
      <c r="A17" s="60">
        <v>16</v>
      </c>
      <c r="B17">
        <v>1800</v>
      </c>
      <c r="C17">
        <v>0</v>
      </c>
      <c r="D17">
        <v>0</v>
      </c>
      <c r="E17">
        <v>0</v>
      </c>
      <c r="F17">
        <v>0</v>
      </c>
      <c r="G17">
        <v>0</v>
      </c>
      <c r="H17">
        <v>0</v>
      </c>
      <c r="I17">
        <v>0</v>
      </c>
      <c r="J17">
        <v>0</v>
      </c>
      <c r="K17">
        <v>0</v>
      </c>
      <c r="L17">
        <v>0</v>
      </c>
      <c r="M17">
        <v>0</v>
      </c>
      <c r="N17">
        <v>0</v>
      </c>
      <c r="O17">
        <v>0</v>
      </c>
      <c r="P17">
        <v>0</v>
      </c>
      <c r="Q17">
        <v>0</v>
      </c>
      <c r="R17">
        <v>1692</v>
      </c>
      <c r="S17">
        <v>1590</v>
      </c>
      <c r="T17">
        <v>1494</v>
      </c>
      <c r="U17">
        <v>1404</v>
      </c>
      <c r="V17">
        <v>1319</v>
      </c>
      <c r="W17">
        <v>1239</v>
      </c>
      <c r="X17">
        <v>1164</v>
      </c>
      <c r="Y17">
        <v>1094</v>
      </c>
      <c r="Z17">
        <v>1028</v>
      </c>
      <c r="AA17">
        <v>966</v>
      </c>
      <c r="AB17">
        <v>908</v>
      </c>
      <c r="AC17">
        <v>853</v>
      </c>
      <c r="AD17">
        <v>801</v>
      </c>
      <c r="AE17">
        <v>752</v>
      </c>
      <c r="AF17">
        <v>706</v>
      </c>
      <c r="AG17">
        <v>663</v>
      </c>
      <c r="AH17">
        <v>623</v>
      </c>
      <c r="AI17">
        <v>585</v>
      </c>
      <c r="AJ17">
        <v>549</v>
      </c>
      <c r="AK17">
        <v>516</v>
      </c>
      <c r="AL17">
        <v>485</v>
      </c>
      <c r="AM17" s="63">
        <v>5.62E-2</v>
      </c>
    </row>
    <row r="18" spans="1:39" x14ac:dyDescent="0.2">
      <c r="A18" s="60">
        <v>17</v>
      </c>
      <c r="B18">
        <v>1850</v>
      </c>
      <c r="C18">
        <v>0</v>
      </c>
      <c r="D18">
        <v>0</v>
      </c>
      <c r="E18">
        <v>0</v>
      </c>
      <c r="F18">
        <v>0</v>
      </c>
      <c r="G18">
        <v>0</v>
      </c>
      <c r="H18">
        <v>0</v>
      </c>
      <c r="I18">
        <v>0</v>
      </c>
      <c r="J18">
        <v>0</v>
      </c>
      <c r="K18">
        <v>0</v>
      </c>
      <c r="L18">
        <v>0</v>
      </c>
      <c r="M18">
        <v>0</v>
      </c>
      <c r="N18">
        <v>0</v>
      </c>
      <c r="O18">
        <v>0</v>
      </c>
      <c r="P18">
        <v>0</v>
      </c>
      <c r="Q18">
        <v>0</v>
      </c>
      <c r="R18">
        <v>0</v>
      </c>
      <c r="S18">
        <v>1739</v>
      </c>
      <c r="T18">
        <v>1634</v>
      </c>
      <c r="U18">
        <v>1535</v>
      </c>
      <c r="V18">
        <v>1442</v>
      </c>
      <c r="W18">
        <v>1355</v>
      </c>
      <c r="X18">
        <v>1273</v>
      </c>
      <c r="Y18">
        <v>1196</v>
      </c>
      <c r="Z18">
        <v>1124</v>
      </c>
      <c r="AA18">
        <v>1056</v>
      </c>
      <c r="AB18">
        <v>992</v>
      </c>
      <c r="AC18">
        <v>932</v>
      </c>
      <c r="AD18">
        <v>876</v>
      </c>
      <c r="AE18">
        <v>823</v>
      </c>
      <c r="AF18">
        <v>773</v>
      </c>
      <c r="AG18">
        <v>726</v>
      </c>
      <c r="AH18">
        <v>682</v>
      </c>
      <c r="AI18">
        <v>641</v>
      </c>
      <c r="AJ18">
        <v>602</v>
      </c>
      <c r="AK18">
        <v>565</v>
      </c>
      <c r="AL18">
        <v>531</v>
      </c>
      <c r="AM18" s="63">
        <v>5.3400000000000003E-2</v>
      </c>
    </row>
    <row r="19" spans="1:39" x14ac:dyDescent="0.2">
      <c r="A19" s="60">
        <v>18</v>
      </c>
      <c r="B19">
        <v>1780</v>
      </c>
      <c r="C19">
        <v>0</v>
      </c>
      <c r="D19">
        <v>0</v>
      </c>
      <c r="E19">
        <v>0</v>
      </c>
      <c r="F19">
        <v>0</v>
      </c>
      <c r="G19">
        <v>0</v>
      </c>
      <c r="H19">
        <v>0</v>
      </c>
      <c r="I19">
        <v>0</v>
      </c>
      <c r="J19">
        <v>0</v>
      </c>
      <c r="K19">
        <v>0</v>
      </c>
      <c r="L19">
        <v>0</v>
      </c>
      <c r="M19">
        <v>0</v>
      </c>
      <c r="N19">
        <v>0</v>
      </c>
      <c r="O19">
        <v>0</v>
      </c>
      <c r="P19">
        <v>0</v>
      </c>
      <c r="Q19">
        <v>0</v>
      </c>
      <c r="R19">
        <v>0</v>
      </c>
      <c r="S19">
        <v>0</v>
      </c>
      <c r="T19">
        <v>1673</v>
      </c>
      <c r="U19">
        <v>1572</v>
      </c>
      <c r="V19">
        <v>1477</v>
      </c>
      <c r="W19">
        <v>1388</v>
      </c>
      <c r="X19">
        <v>1304</v>
      </c>
      <c r="Y19">
        <v>1225</v>
      </c>
      <c r="Z19">
        <v>1151</v>
      </c>
      <c r="AA19">
        <v>1081</v>
      </c>
      <c r="AB19">
        <v>1016</v>
      </c>
      <c r="AC19">
        <v>955</v>
      </c>
      <c r="AD19">
        <v>897</v>
      </c>
      <c r="AE19">
        <v>843</v>
      </c>
      <c r="AF19">
        <v>792</v>
      </c>
      <c r="AG19">
        <v>744</v>
      </c>
      <c r="AH19">
        <v>699</v>
      </c>
      <c r="AI19">
        <v>657</v>
      </c>
      <c r="AJ19">
        <v>617</v>
      </c>
      <c r="AK19">
        <v>579</v>
      </c>
      <c r="AL19">
        <v>544</v>
      </c>
      <c r="AM19" s="63">
        <v>5.2200000000000003E-2</v>
      </c>
    </row>
    <row r="20" spans="1:39" x14ac:dyDescent="0.2">
      <c r="A20" s="60">
        <v>19</v>
      </c>
      <c r="B20">
        <v>1900</v>
      </c>
      <c r="C20">
        <v>0</v>
      </c>
      <c r="D20">
        <v>0</v>
      </c>
      <c r="E20">
        <v>0</v>
      </c>
      <c r="F20">
        <v>0</v>
      </c>
      <c r="G20">
        <v>0</v>
      </c>
      <c r="H20">
        <v>0</v>
      </c>
      <c r="I20">
        <v>0</v>
      </c>
      <c r="J20">
        <v>0</v>
      </c>
      <c r="K20">
        <v>0</v>
      </c>
      <c r="L20">
        <v>0</v>
      </c>
      <c r="M20">
        <v>0</v>
      </c>
      <c r="N20">
        <v>0</v>
      </c>
      <c r="O20">
        <v>0</v>
      </c>
      <c r="P20">
        <v>0</v>
      </c>
      <c r="Q20">
        <v>0</v>
      </c>
      <c r="R20">
        <v>0</v>
      </c>
      <c r="S20">
        <v>0</v>
      </c>
      <c r="T20">
        <v>0</v>
      </c>
      <c r="U20">
        <v>1786</v>
      </c>
      <c r="V20">
        <v>1678</v>
      </c>
      <c r="W20">
        <v>1577</v>
      </c>
      <c r="X20">
        <v>1482</v>
      </c>
      <c r="Y20">
        <v>1393</v>
      </c>
      <c r="Z20">
        <v>1309</v>
      </c>
      <c r="AA20">
        <v>1230</v>
      </c>
      <c r="AB20">
        <v>1156</v>
      </c>
      <c r="AC20">
        <v>1086</v>
      </c>
      <c r="AD20">
        <v>1020</v>
      </c>
      <c r="AE20">
        <v>958</v>
      </c>
      <c r="AF20">
        <v>900</v>
      </c>
      <c r="AG20">
        <v>846</v>
      </c>
      <c r="AH20">
        <v>795</v>
      </c>
      <c r="AI20">
        <v>747</v>
      </c>
      <c r="AJ20">
        <v>702</v>
      </c>
      <c r="AK20">
        <v>659</v>
      </c>
      <c r="AL20">
        <v>619</v>
      </c>
      <c r="AM20" s="63">
        <v>5.2400000000000002E-2</v>
      </c>
    </row>
    <row r="21" spans="1:39" x14ac:dyDescent="0.2">
      <c r="A21" s="60">
        <v>20</v>
      </c>
      <c r="B21">
        <v>2000</v>
      </c>
      <c r="C21">
        <v>0</v>
      </c>
      <c r="D21">
        <v>0</v>
      </c>
      <c r="E21">
        <v>0</v>
      </c>
      <c r="F21">
        <v>0</v>
      </c>
      <c r="G21">
        <v>0</v>
      </c>
      <c r="H21">
        <v>0</v>
      </c>
      <c r="I21">
        <v>0</v>
      </c>
      <c r="J21">
        <v>0</v>
      </c>
      <c r="K21">
        <v>0</v>
      </c>
      <c r="L21">
        <v>0</v>
      </c>
      <c r="M21">
        <v>0</v>
      </c>
      <c r="N21">
        <v>0</v>
      </c>
      <c r="O21">
        <v>0</v>
      </c>
      <c r="P21">
        <v>0</v>
      </c>
      <c r="Q21">
        <v>0</v>
      </c>
      <c r="R21">
        <v>0</v>
      </c>
      <c r="S21">
        <v>0</v>
      </c>
      <c r="T21">
        <v>0</v>
      </c>
      <c r="U21">
        <v>0</v>
      </c>
      <c r="V21">
        <v>1880</v>
      </c>
      <c r="W21">
        <v>1767</v>
      </c>
      <c r="X21">
        <v>1660</v>
      </c>
      <c r="Y21">
        <v>1560</v>
      </c>
      <c r="Z21">
        <v>1466</v>
      </c>
      <c r="AA21">
        <v>1378</v>
      </c>
      <c r="AB21">
        <v>1295</v>
      </c>
      <c r="AC21">
        <v>1217</v>
      </c>
      <c r="AD21">
        <v>1143</v>
      </c>
      <c r="AE21">
        <v>1074</v>
      </c>
      <c r="AF21">
        <v>1009</v>
      </c>
      <c r="AG21">
        <v>948</v>
      </c>
      <c r="AH21">
        <v>891</v>
      </c>
      <c r="AI21">
        <v>837</v>
      </c>
      <c r="AJ21">
        <v>786</v>
      </c>
      <c r="AK21">
        <v>738</v>
      </c>
      <c r="AL21">
        <v>693</v>
      </c>
      <c r="AM21" s="63">
        <v>5.28E-2</v>
      </c>
    </row>
    <row r="22" spans="1:39" x14ac:dyDescent="0.2">
      <c r="A22" s="60">
        <v>21</v>
      </c>
      <c r="B22">
        <v>2100</v>
      </c>
      <c r="C22">
        <v>0</v>
      </c>
      <c r="D22">
        <v>0</v>
      </c>
      <c r="E22">
        <v>0</v>
      </c>
      <c r="F22">
        <v>0</v>
      </c>
      <c r="G22">
        <v>0</v>
      </c>
      <c r="H22">
        <v>0</v>
      </c>
      <c r="I22">
        <v>0</v>
      </c>
      <c r="J22">
        <v>0</v>
      </c>
      <c r="K22">
        <v>0</v>
      </c>
      <c r="L22">
        <v>0</v>
      </c>
      <c r="M22">
        <v>0</v>
      </c>
      <c r="N22">
        <v>0</v>
      </c>
      <c r="O22">
        <v>0</v>
      </c>
      <c r="P22">
        <v>0</v>
      </c>
      <c r="Q22">
        <v>0</v>
      </c>
      <c r="R22">
        <v>0</v>
      </c>
      <c r="S22">
        <v>0</v>
      </c>
      <c r="T22">
        <v>0</v>
      </c>
      <c r="U22">
        <v>0</v>
      </c>
      <c r="V22">
        <v>0</v>
      </c>
      <c r="W22">
        <v>1974</v>
      </c>
      <c r="X22">
        <v>1855</v>
      </c>
      <c r="Y22">
        <v>1743</v>
      </c>
      <c r="Z22">
        <v>1638</v>
      </c>
      <c r="AA22">
        <v>1539</v>
      </c>
      <c r="AB22">
        <v>1446</v>
      </c>
      <c r="AC22">
        <v>1359</v>
      </c>
      <c r="AD22">
        <v>1277</v>
      </c>
      <c r="AE22">
        <v>1200</v>
      </c>
      <c r="AF22">
        <v>1128</v>
      </c>
      <c r="AG22">
        <v>1060</v>
      </c>
      <c r="AH22">
        <v>996</v>
      </c>
      <c r="AI22">
        <v>936</v>
      </c>
      <c r="AJ22">
        <v>879</v>
      </c>
      <c r="AK22">
        <v>826</v>
      </c>
      <c r="AL22">
        <v>776</v>
      </c>
      <c r="AM22" s="63">
        <v>5.2699999999999997E-2</v>
      </c>
    </row>
    <row r="23" spans="1:39" x14ac:dyDescent="0.2">
      <c r="A23" s="60">
        <v>22</v>
      </c>
      <c r="B23">
        <v>2050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1927</v>
      </c>
      <c r="Y23">
        <v>1811</v>
      </c>
      <c r="Z23">
        <v>1702</v>
      </c>
      <c r="AA23">
        <v>1599</v>
      </c>
      <c r="AB23">
        <v>1503</v>
      </c>
      <c r="AC23">
        <v>1412</v>
      </c>
      <c r="AD23">
        <v>1327</v>
      </c>
      <c r="AE23">
        <v>1247</v>
      </c>
      <c r="AF23">
        <v>1172</v>
      </c>
      <c r="AG23">
        <v>1101</v>
      </c>
      <c r="AH23">
        <v>1034</v>
      </c>
      <c r="AI23">
        <v>971</v>
      </c>
      <c r="AJ23">
        <v>912</v>
      </c>
      <c r="AK23">
        <v>857</v>
      </c>
      <c r="AL23">
        <v>805</v>
      </c>
      <c r="AM23" s="63">
        <v>5.1999999999999998E-2</v>
      </c>
    </row>
    <row r="24" spans="1:39" x14ac:dyDescent="0.2">
      <c r="A24" s="60">
        <v>23</v>
      </c>
      <c r="B24">
        <v>2200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2068</v>
      </c>
      <c r="Z24">
        <v>1943</v>
      </c>
      <c r="AA24">
        <v>1826</v>
      </c>
      <c r="AB24">
        <v>1716</v>
      </c>
      <c r="AC24">
        <v>1613</v>
      </c>
      <c r="AD24">
        <v>1516</v>
      </c>
      <c r="AE24">
        <v>1425</v>
      </c>
      <c r="AF24">
        <v>1339</v>
      </c>
      <c r="AG24">
        <v>1258</v>
      </c>
      <c r="AH24">
        <v>1182</v>
      </c>
      <c r="AI24">
        <v>1111</v>
      </c>
      <c r="AJ24">
        <v>1044</v>
      </c>
      <c r="AK24">
        <v>981</v>
      </c>
      <c r="AL24">
        <v>922</v>
      </c>
      <c r="AM24" s="63">
        <v>5.1299999999999998E-2</v>
      </c>
    </row>
    <row r="25" spans="1:39" x14ac:dyDescent="0.2">
      <c r="A25" s="60">
        <v>24</v>
      </c>
      <c r="B25">
        <v>2300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2162</v>
      </c>
      <c r="AA25">
        <v>2032</v>
      </c>
      <c r="AB25">
        <v>1910</v>
      </c>
      <c r="AC25">
        <v>1795</v>
      </c>
      <c r="AD25">
        <v>1687</v>
      </c>
      <c r="AE25">
        <v>1585</v>
      </c>
      <c r="AF25">
        <v>1489</v>
      </c>
      <c r="AG25">
        <v>1399</v>
      </c>
      <c r="AH25">
        <v>1315</v>
      </c>
      <c r="AI25">
        <v>1236</v>
      </c>
      <c r="AJ25">
        <v>1161</v>
      </c>
      <c r="AK25">
        <v>1091</v>
      </c>
      <c r="AL25">
        <v>1025</v>
      </c>
      <c r="AM25" s="63">
        <v>5.1499999999999997E-2</v>
      </c>
    </row>
    <row r="26" spans="1:39" x14ac:dyDescent="0.2">
      <c r="A26" s="60">
        <v>25</v>
      </c>
      <c r="B26">
        <v>2400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2256</v>
      </c>
      <c r="AB26">
        <v>2120</v>
      </c>
      <c r="AC26">
        <v>1992</v>
      </c>
      <c r="AD26">
        <v>1872</v>
      </c>
      <c r="AE26">
        <v>1759</v>
      </c>
      <c r="AF26">
        <v>1653</v>
      </c>
      <c r="AG26">
        <v>1553</v>
      </c>
      <c r="AH26">
        <v>1459</v>
      </c>
      <c r="AI26">
        <v>1371</v>
      </c>
      <c r="AJ26">
        <v>1288</v>
      </c>
      <c r="AK26">
        <v>1210</v>
      </c>
      <c r="AL26">
        <v>1137</v>
      </c>
      <c r="AM26" s="63">
        <v>5.1499999999999997E-2</v>
      </c>
    </row>
    <row r="27" spans="1:39" x14ac:dyDescent="0.2">
      <c r="A27" s="60">
        <v>26</v>
      </c>
      <c r="B27">
        <v>2350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2209</v>
      </c>
      <c r="AC27">
        <v>2076</v>
      </c>
      <c r="AD27">
        <v>1951</v>
      </c>
      <c r="AE27">
        <v>1833</v>
      </c>
      <c r="AF27">
        <v>1723</v>
      </c>
      <c r="AG27">
        <v>1619</v>
      </c>
      <c r="AH27">
        <v>1521</v>
      </c>
      <c r="AI27">
        <v>1429</v>
      </c>
      <c r="AJ27">
        <v>1343</v>
      </c>
      <c r="AK27">
        <v>1262</v>
      </c>
      <c r="AL27">
        <v>1186</v>
      </c>
      <c r="AM27" s="63">
        <v>5.0700000000000002E-2</v>
      </c>
    </row>
    <row r="28" spans="1:39" x14ac:dyDescent="0.2">
      <c r="A28" s="60">
        <v>27</v>
      </c>
      <c r="B28">
        <v>2500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2350</v>
      </c>
      <c r="AD28">
        <v>2209</v>
      </c>
      <c r="AE28">
        <v>2076</v>
      </c>
      <c r="AF28">
        <v>1951</v>
      </c>
      <c r="AG28">
        <v>1833</v>
      </c>
      <c r="AH28">
        <v>1723</v>
      </c>
      <c r="AI28">
        <v>1619</v>
      </c>
      <c r="AJ28">
        <v>1521</v>
      </c>
      <c r="AK28">
        <v>1429</v>
      </c>
      <c r="AL28">
        <v>1343</v>
      </c>
      <c r="AM28" s="63">
        <v>5.1499999999999997E-2</v>
      </c>
    </row>
    <row r="29" spans="1:39" x14ac:dyDescent="0.2">
      <c r="A29" s="60">
        <v>28</v>
      </c>
      <c r="B29">
        <v>2600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2444</v>
      </c>
      <c r="AE29">
        <v>2297</v>
      </c>
      <c r="AF29">
        <v>2159</v>
      </c>
      <c r="AG29">
        <v>2029</v>
      </c>
      <c r="AH29">
        <v>1907</v>
      </c>
      <c r="AI29">
        <v>1792</v>
      </c>
      <c r="AJ29">
        <v>1684</v>
      </c>
      <c r="AK29">
        <v>1582</v>
      </c>
      <c r="AL29">
        <v>1487</v>
      </c>
      <c r="AM29" s="63">
        <v>5.0599999999999999E-2</v>
      </c>
    </row>
    <row r="30" spans="1:39" x14ac:dyDescent="0.2">
      <c r="A30" s="60">
        <v>29</v>
      </c>
      <c r="B30">
        <v>2550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2397</v>
      </c>
      <c r="AF30">
        <v>2253</v>
      </c>
      <c r="AG30">
        <v>2117</v>
      </c>
      <c r="AH30">
        <v>1989</v>
      </c>
      <c r="AI30">
        <v>1869</v>
      </c>
      <c r="AJ30">
        <v>1756</v>
      </c>
      <c r="AK30">
        <v>1650</v>
      </c>
      <c r="AL30">
        <v>1551</v>
      </c>
      <c r="AM30" s="63">
        <v>5.0599999999999999E-2</v>
      </c>
    </row>
    <row r="31" spans="1:39" x14ac:dyDescent="0.2">
      <c r="A31" s="60">
        <v>30</v>
      </c>
      <c r="B31">
        <v>2700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2538</v>
      </c>
      <c r="AG31">
        <v>2385</v>
      </c>
      <c r="AH31">
        <v>2241</v>
      </c>
      <c r="AI31">
        <v>2106</v>
      </c>
      <c r="AJ31">
        <v>1979</v>
      </c>
      <c r="AK31">
        <v>1860</v>
      </c>
      <c r="AL31">
        <v>1748</v>
      </c>
      <c r="AM31" s="63">
        <v>5.04E-2</v>
      </c>
    </row>
    <row r="32" spans="1:39" x14ac:dyDescent="0.2">
      <c r="A32" s="60">
        <v>31</v>
      </c>
      <c r="B32">
        <v>2800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2632</v>
      </c>
      <c r="AH32">
        <v>2474</v>
      </c>
      <c r="AI32">
        <v>2325</v>
      </c>
      <c r="AJ32">
        <v>2185</v>
      </c>
      <c r="AK32">
        <v>2053</v>
      </c>
      <c r="AL32">
        <v>1929</v>
      </c>
      <c r="AM32" s="63">
        <v>5.1499999999999997E-2</v>
      </c>
    </row>
    <row r="33" spans="1:39" x14ac:dyDescent="0.2">
      <c r="A33" s="60">
        <v>32</v>
      </c>
      <c r="B33">
        <v>2950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2773</v>
      </c>
      <c r="AI33">
        <v>2606</v>
      </c>
      <c r="AJ33">
        <v>2449</v>
      </c>
      <c r="AK33">
        <v>2302</v>
      </c>
      <c r="AL33">
        <v>2163</v>
      </c>
      <c r="AM33" s="63">
        <v>5.0200000000000002E-2</v>
      </c>
    </row>
    <row r="34" spans="1:39" x14ac:dyDescent="0.2">
      <c r="A34" s="60">
        <v>33</v>
      </c>
      <c r="B34">
        <v>3000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2820</v>
      </c>
      <c r="AJ34">
        <v>2650</v>
      </c>
      <c r="AK34">
        <v>2491</v>
      </c>
      <c r="AL34">
        <v>2341</v>
      </c>
      <c r="AM34" s="63">
        <v>4.9700000000000001E-2</v>
      </c>
    </row>
    <row r="35" spans="1:39" x14ac:dyDescent="0.2">
      <c r="A35" s="60">
        <v>34</v>
      </c>
      <c r="B35">
        <v>3100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2914</v>
      </c>
      <c r="AK35">
        <v>2739</v>
      </c>
      <c r="AL35">
        <v>2574</v>
      </c>
      <c r="AM35" s="63">
        <v>4.99E-2</v>
      </c>
    </row>
    <row r="36" spans="1:39" x14ac:dyDescent="0.2">
      <c r="A36" s="60">
        <v>35</v>
      </c>
      <c r="B36">
        <v>3200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3008</v>
      </c>
      <c r="AL36">
        <v>2827</v>
      </c>
      <c r="AM36" s="63">
        <v>5.0799999999999998E-2</v>
      </c>
    </row>
    <row r="37" spans="1:39" x14ac:dyDescent="0.2">
      <c r="A37" s="60">
        <v>36</v>
      </c>
      <c r="B37">
        <v>3350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3149</v>
      </c>
      <c r="AM37" s="63">
        <v>5.1200000000000002E-2</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13BE-F1CA-8843-8EEE-BF7D7207B176}">
  <sheetPr>
    <tabColor rgb="FF92D050"/>
  </sheetPr>
  <dimension ref="A3:L40"/>
  <sheetViews>
    <sheetView showGridLines="0" workbookViewId="0">
      <selection activeCell="J6" sqref="J6"/>
    </sheetView>
  </sheetViews>
  <sheetFormatPr baseColWidth="10" defaultRowHeight="16" x14ac:dyDescent="0.2"/>
  <cols>
    <col min="1" max="2" width="15" customWidth="1"/>
    <col min="3" max="3" width="24" customWidth="1"/>
    <col min="4" max="4" width="18.5" customWidth="1"/>
    <col min="5" max="5" width="20.1640625" customWidth="1"/>
    <col min="6" max="6" width="23.1640625" customWidth="1"/>
    <col min="7" max="7" width="14" customWidth="1"/>
  </cols>
  <sheetData>
    <row r="3" spans="1:12" ht="19" x14ac:dyDescent="0.25">
      <c r="A3" s="12" t="s">
        <v>62</v>
      </c>
      <c r="B3" s="12"/>
      <c r="C3" s="12"/>
      <c r="D3" s="12"/>
      <c r="E3" s="11"/>
      <c r="G3" s="12" t="s">
        <v>70</v>
      </c>
      <c r="H3" s="11"/>
      <c r="I3" s="11"/>
      <c r="J3" s="11"/>
      <c r="K3" s="11"/>
      <c r="L3" s="11"/>
    </row>
    <row r="4" spans="1:12" ht="17" thickBot="1" x14ac:dyDescent="0.25">
      <c r="A4" s="49" t="s">
        <v>114</v>
      </c>
      <c r="B4" s="49" t="s">
        <v>115</v>
      </c>
      <c r="C4" s="49" t="s">
        <v>121</v>
      </c>
      <c r="D4" s="49" t="s">
        <v>122</v>
      </c>
      <c r="E4" s="49" t="s">
        <v>123</v>
      </c>
      <c r="G4" s="10"/>
      <c r="H4" s="10">
        <v>2022</v>
      </c>
      <c r="I4" s="10">
        <v>2023</v>
      </c>
      <c r="J4" s="10">
        <v>2024</v>
      </c>
      <c r="K4" s="15" t="s">
        <v>69</v>
      </c>
      <c r="L4" s="15" t="s">
        <v>71</v>
      </c>
    </row>
    <row r="5" spans="1:12" ht="16" customHeight="1" x14ac:dyDescent="0.2">
      <c r="A5" s="49">
        <v>1</v>
      </c>
      <c r="B5" s="49">
        <v>950</v>
      </c>
      <c r="C5" s="50">
        <v>0.502</v>
      </c>
      <c r="D5" s="50">
        <v>0.23400000000000001</v>
      </c>
      <c r="E5" s="50">
        <v>0.1</v>
      </c>
      <c r="G5" t="s">
        <v>66</v>
      </c>
      <c r="H5" s="9">
        <f>AVERAGE('Historical_Data &amp; Analysis'!V3:V13)</f>
        <v>0.73636363636363644</v>
      </c>
      <c r="I5" s="9">
        <f>AVERAGE('Historical_Data &amp; Analysis'!V14:V25)</f>
        <v>0.75916666666666666</v>
      </c>
      <c r="J5" s="9">
        <f>AVERAGE('Historical_Data &amp; Analysis'!V26:V38)</f>
        <v>0.78769230769230769</v>
      </c>
      <c r="L5" s="58" t="s">
        <v>72</v>
      </c>
    </row>
    <row r="6" spans="1:12" x14ac:dyDescent="0.2">
      <c r="A6" s="49">
        <v>2</v>
      </c>
      <c r="B6" s="49">
        <v>1020</v>
      </c>
      <c r="C6" s="50">
        <v>0.503</v>
      </c>
      <c r="D6" s="50">
        <v>0.251</v>
      </c>
      <c r="E6" s="50">
        <v>0.107</v>
      </c>
      <c r="G6" t="s">
        <v>4</v>
      </c>
      <c r="H6">
        <f>AVERAGE('Historical_Data &amp; Analysis'!C3:C14)</f>
        <v>66.5</v>
      </c>
      <c r="I6">
        <f>AVERAGE('Historical_Data &amp; Analysis'!C15:C26)</f>
        <v>68.333333333333329</v>
      </c>
      <c r="J6">
        <f>AVERAGE('Historical_Data &amp; Analysis'!C27:C38)</f>
        <v>65.25</v>
      </c>
      <c r="L6" s="16"/>
    </row>
    <row r="7" spans="1:12" x14ac:dyDescent="0.2">
      <c r="A7" s="49">
        <v>3</v>
      </c>
      <c r="B7" s="49">
        <v>1080</v>
      </c>
      <c r="C7" s="50">
        <v>0.53600000000000003</v>
      </c>
      <c r="D7" s="50">
        <v>0.26900000000000002</v>
      </c>
      <c r="E7" s="50">
        <v>0.11600000000000001</v>
      </c>
      <c r="G7" t="s">
        <v>64</v>
      </c>
      <c r="H7">
        <f>AVERAGE('Historical_Data &amp; Analysis'!X3:X13)</f>
        <v>16.551270264457226</v>
      </c>
      <c r="I7">
        <f>AVERAGE('Historical_Data &amp; Analysis'!X14:X25)</f>
        <v>18.150023995612234</v>
      </c>
      <c r="J7">
        <f>AVERAGE('Historical_Data &amp; Analysis'!X26:X38)</f>
        <v>21.623692045470712</v>
      </c>
      <c r="L7" s="16"/>
    </row>
    <row r="8" spans="1:12" x14ac:dyDescent="0.2">
      <c r="A8" s="49">
        <v>4</v>
      </c>
      <c r="B8" s="49">
        <v>1120</v>
      </c>
      <c r="C8" s="50">
        <v>0.56899999999999995</v>
      </c>
      <c r="D8" s="50">
        <v>0.28499999999999998</v>
      </c>
      <c r="E8" s="50">
        <v>0.124</v>
      </c>
      <c r="G8" t="s">
        <v>65</v>
      </c>
      <c r="H8">
        <f>AVERAGE('Historical_Data &amp; Analysis'!Y3:Y13)</f>
        <v>573.88001314502833</v>
      </c>
      <c r="I8">
        <f>AVERAGE('Historical_Data &amp; Analysis'!Y14:Y25)</f>
        <v>790.1335255838934</v>
      </c>
      <c r="J8">
        <f>AVERAGE('Historical_Data &amp; Analysis'!Y26:Y38)</f>
        <v>1175.872310708487</v>
      </c>
      <c r="L8" s="16"/>
    </row>
    <row r="9" spans="1:12" x14ac:dyDescent="0.2">
      <c r="A9" s="49">
        <v>5</v>
      </c>
      <c r="B9" s="49">
        <v>1250</v>
      </c>
      <c r="C9" s="50">
        <v>0.60699999999999998</v>
      </c>
      <c r="D9" s="50">
        <v>0.30399999999999999</v>
      </c>
      <c r="E9" s="50">
        <v>0.13300000000000001</v>
      </c>
      <c r="G9" t="s">
        <v>67</v>
      </c>
      <c r="H9" s="13">
        <f>AVERAGE('Historical_Data &amp; Analysis'!Z3:Z13)</f>
        <v>3.5181439606466941E-2</v>
      </c>
      <c r="I9" s="13">
        <f>AVERAGE('Historical_Data &amp; Analysis'!Z14:Z25)</f>
        <v>3.5517248083520685E-2</v>
      </c>
      <c r="J9" s="13">
        <f>AVERAGE('Historical_Data &amp; Analysis'!Z26:Z38)</f>
        <v>3.5622587078629517E-2</v>
      </c>
      <c r="L9" s="16"/>
    </row>
    <row r="10" spans="1:12" x14ac:dyDescent="0.2">
      <c r="A10" s="49">
        <v>6</v>
      </c>
      <c r="B10" s="49">
        <v>1180</v>
      </c>
      <c r="C10" s="50">
        <v>0.64700000000000002</v>
      </c>
      <c r="D10" s="50">
        <v>0.32400000000000001</v>
      </c>
      <c r="E10" s="50">
        <v>0.14199999999999999</v>
      </c>
      <c r="G10" t="s">
        <v>68</v>
      </c>
      <c r="H10">
        <f>AVERAGE('Historical_Data &amp; Analysis'!AA3:AA13)</f>
        <v>1.9156991166820461</v>
      </c>
      <c r="I10">
        <f>AVERAGE('Historical_Data &amp; Analysis'!AA14:AA25)</f>
        <v>1.5862178662062414</v>
      </c>
      <c r="J10">
        <f>AVERAGE('Historical_Data &amp; Analysis'!AA26:AA38)</f>
        <v>1.2327317440611876</v>
      </c>
      <c r="L10" s="16"/>
    </row>
    <row r="11" spans="1:12" x14ac:dyDescent="0.2">
      <c r="A11" s="49">
        <v>7</v>
      </c>
      <c r="B11" s="49">
        <v>1300</v>
      </c>
      <c r="C11" s="50">
        <v>0.68799999999999994</v>
      </c>
      <c r="D11" s="50">
        <v>0.34599999999999997</v>
      </c>
      <c r="E11" s="50">
        <v>0.152</v>
      </c>
      <c r="G11" t="s">
        <v>73</v>
      </c>
      <c r="H11" s="9">
        <f>((Table[[#This Row],[Revenue]]-'Historical_Data &amp; Analysis'!K3)^(1/12))-1</f>
        <v>1.2677628893439521</v>
      </c>
      <c r="I11" s="9">
        <f>(('Historical_Data &amp; Analysis'!K26-'Historical_Data &amp; Analysis'!K15)^(1/12))-1</f>
        <v>1.4182711751219572</v>
      </c>
      <c r="J11" s="9">
        <f>(('Historical_Data &amp; Analysis'!K38-'Historical_Data &amp; Analysis'!K27)^(1/12))-1</f>
        <v>1.4870375108462959</v>
      </c>
      <c r="L11" s="16"/>
    </row>
    <row r="12" spans="1:12" x14ac:dyDescent="0.2">
      <c r="A12" s="49">
        <v>8</v>
      </c>
      <c r="B12" s="49">
        <v>1400</v>
      </c>
      <c r="C12" s="50">
        <v>0.73299999999999998</v>
      </c>
      <c r="D12" s="50">
        <v>0.36799999999999999</v>
      </c>
      <c r="E12" s="50">
        <v>0.161</v>
      </c>
      <c r="G12" t="s">
        <v>1</v>
      </c>
      <c r="H12">
        <f>H8/H6</f>
        <v>8.6297746337598245</v>
      </c>
      <c r="I12">
        <f>I8/I6</f>
        <v>11.562929642691124</v>
      </c>
      <c r="J12">
        <f>J8/J6</f>
        <v>18.021031581739265</v>
      </c>
    </row>
    <row r="13" spans="1:12" x14ac:dyDescent="0.2">
      <c r="A13" s="49">
        <v>9</v>
      </c>
      <c r="B13" s="49">
        <v>1350</v>
      </c>
      <c r="C13" s="50">
        <v>0.78</v>
      </c>
      <c r="D13" s="50">
        <v>0.39100000000000001</v>
      </c>
      <c r="E13" s="50">
        <v>0.17299999999999999</v>
      </c>
    </row>
    <row r="14" spans="1:12" x14ac:dyDescent="0.2">
      <c r="A14" s="49">
        <v>10</v>
      </c>
      <c r="B14" s="49">
        <v>1500</v>
      </c>
      <c r="C14" s="50">
        <v>0.83</v>
      </c>
      <c r="D14" s="50">
        <v>0.41799999999999998</v>
      </c>
      <c r="E14" s="50">
        <v>0.183</v>
      </c>
    </row>
    <row r="15" spans="1:12" x14ac:dyDescent="0.2">
      <c r="A15" s="49">
        <v>11</v>
      </c>
      <c r="B15" s="49">
        <v>1420</v>
      </c>
      <c r="C15" s="50">
        <v>0.88200000000000001</v>
      </c>
      <c r="D15" s="50">
        <v>0.441</v>
      </c>
      <c r="E15" s="50">
        <v>0.19600000000000001</v>
      </c>
    </row>
    <row r="16" spans="1:12" x14ac:dyDescent="0.2">
      <c r="A16" s="49">
        <v>12</v>
      </c>
      <c r="B16" s="49">
        <v>1600</v>
      </c>
      <c r="C16" s="50">
        <v>0.94</v>
      </c>
      <c r="D16" s="50">
        <v>0.47299999999999998</v>
      </c>
      <c r="E16" s="50">
        <v>0.20799999999999999</v>
      </c>
    </row>
    <row r="17" spans="1:5" x14ac:dyDescent="0.2">
      <c r="A17" s="49">
        <v>13</v>
      </c>
      <c r="B17" s="49">
        <v>1700</v>
      </c>
      <c r="C17" s="49" t="s">
        <v>120</v>
      </c>
      <c r="D17" s="50">
        <v>0.47399999999999998</v>
      </c>
      <c r="E17" s="50">
        <v>0.222</v>
      </c>
    </row>
    <row r="18" spans="1:5" x14ac:dyDescent="0.2">
      <c r="A18" s="49">
        <v>14</v>
      </c>
      <c r="B18" s="49">
        <v>1620</v>
      </c>
      <c r="C18" s="49" t="s">
        <v>120</v>
      </c>
      <c r="D18" s="50">
        <v>0.504</v>
      </c>
      <c r="E18" s="50">
        <v>0.252</v>
      </c>
    </row>
    <row r="19" spans="1:5" x14ac:dyDescent="0.2">
      <c r="A19" s="49">
        <v>15</v>
      </c>
      <c r="B19" s="49">
        <v>1750</v>
      </c>
      <c r="C19" s="49" t="s">
        <v>120</v>
      </c>
      <c r="D19" s="50">
        <v>0.53800000000000003</v>
      </c>
      <c r="E19" s="50">
        <v>0.253</v>
      </c>
    </row>
    <row r="20" spans="1:5" x14ac:dyDescent="0.2">
      <c r="A20" s="49">
        <v>16</v>
      </c>
      <c r="B20" s="49">
        <v>1800</v>
      </c>
      <c r="C20" s="49" t="s">
        <v>120</v>
      </c>
      <c r="D20" s="50">
        <v>0.57199999999999995</v>
      </c>
      <c r="E20" s="50">
        <v>0.27</v>
      </c>
    </row>
    <row r="21" spans="1:5" x14ac:dyDescent="0.2">
      <c r="A21" s="49">
        <v>17</v>
      </c>
      <c r="B21" s="49">
        <v>1850</v>
      </c>
      <c r="C21" s="49" t="s">
        <v>120</v>
      </c>
      <c r="D21" s="50">
        <v>0.60799999999999998</v>
      </c>
      <c r="E21" s="50">
        <v>0.28699999999999998</v>
      </c>
    </row>
    <row r="22" spans="1:5" x14ac:dyDescent="0.2">
      <c r="A22" s="49">
        <v>18</v>
      </c>
      <c r="B22" s="49">
        <v>1780</v>
      </c>
      <c r="C22" s="49" t="s">
        <v>120</v>
      </c>
      <c r="D22" s="50">
        <v>0.64600000000000002</v>
      </c>
      <c r="E22" s="50">
        <v>0.30599999999999999</v>
      </c>
    </row>
    <row r="23" spans="1:5" x14ac:dyDescent="0.2">
      <c r="A23" s="49">
        <v>19</v>
      </c>
      <c r="B23" s="49">
        <v>1900</v>
      </c>
      <c r="C23" s="49" t="s">
        <v>120</v>
      </c>
      <c r="D23" s="50">
        <v>0.69099999999999995</v>
      </c>
      <c r="E23" s="50">
        <v>0.32600000000000001</v>
      </c>
    </row>
    <row r="24" spans="1:5" x14ac:dyDescent="0.2">
      <c r="A24" s="49">
        <v>20</v>
      </c>
      <c r="B24" s="49">
        <v>2000</v>
      </c>
      <c r="C24" s="49" t="s">
        <v>120</v>
      </c>
      <c r="D24" s="50">
        <v>0.73299999999999998</v>
      </c>
      <c r="E24" s="50">
        <v>0.34699999999999998</v>
      </c>
    </row>
    <row r="25" spans="1:5" x14ac:dyDescent="0.2">
      <c r="A25" s="49">
        <v>21</v>
      </c>
      <c r="B25" s="49">
        <v>2100</v>
      </c>
      <c r="C25" s="49" t="s">
        <v>120</v>
      </c>
      <c r="D25" s="50">
        <v>0.78</v>
      </c>
      <c r="E25" s="50">
        <v>0.36899999999999999</v>
      </c>
    </row>
    <row r="26" spans="1:5" x14ac:dyDescent="0.2">
      <c r="A26" s="49">
        <v>22</v>
      </c>
      <c r="B26" s="49">
        <v>2050</v>
      </c>
      <c r="C26" s="49" t="s">
        <v>120</v>
      </c>
      <c r="D26" s="50">
        <v>0.83</v>
      </c>
      <c r="E26" s="50">
        <v>0.39300000000000002</v>
      </c>
    </row>
    <row r="27" spans="1:5" x14ac:dyDescent="0.2">
      <c r="A27" s="49">
        <v>23</v>
      </c>
      <c r="B27" s="49">
        <v>2200</v>
      </c>
      <c r="C27" s="49" t="s">
        <v>120</v>
      </c>
      <c r="D27" s="50">
        <v>0.88300000000000001</v>
      </c>
      <c r="E27" s="50">
        <v>0.41899999999999998</v>
      </c>
    </row>
    <row r="28" spans="1:5" x14ac:dyDescent="0.2">
      <c r="A28" s="49">
        <v>24</v>
      </c>
      <c r="B28" s="49">
        <v>2300</v>
      </c>
      <c r="C28" s="49" t="s">
        <v>120</v>
      </c>
      <c r="D28" s="50">
        <v>0.94</v>
      </c>
      <c r="E28" s="50">
        <v>0.44600000000000001</v>
      </c>
    </row>
    <row r="29" spans="1:5" x14ac:dyDescent="0.2">
      <c r="A29" s="49">
        <v>25</v>
      </c>
      <c r="B29" s="49">
        <v>2400</v>
      </c>
      <c r="C29" s="49" t="s">
        <v>120</v>
      </c>
      <c r="D29" s="49" t="s">
        <v>120</v>
      </c>
      <c r="E29" s="50">
        <v>0.47399999999999998</v>
      </c>
    </row>
    <row r="30" spans="1:5" x14ac:dyDescent="0.2">
      <c r="A30" s="49">
        <v>26</v>
      </c>
      <c r="B30" s="49">
        <v>2350</v>
      </c>
      <c r="C30" s="49" t="s">
        <v>120</v>
      </c>
      <c r="D30" s="49" t="s">
        <v>120</v>
      </c>
      <c r="E30" s="50">
        <v>0.505</v>
      </c>
    </row>
    <row r="31" spans="1:5" x14ac:dyDescent="0.2">
      <c r="A31" s="49">
        <v>27</v>
      </c>
      <c r="B31" s="49">
        <v>2500</v>
      </c>
      <c r="C31" s="49" t="s">
        <v>120</v>
      </c>
      <c r="D31" s="49" t="s">
        <v>120</v>
      </c>
      <c r="E31" s="50">
        <v>0.53700000000000003</v>
      </c>
    </row>
    <row r="32" spans="1:5" x14ac:dyDescent="0.2">
      <c r="A32" s="49">
        <v>28</v>
      </c>
      <c r="B32" s="49">
        <v>2600</v>
      </c>
      <c r="C32" s="49" t="s">
        <v>120</v>
      </c>
      <c r="D32" s="49" t="s">
        <v>120</v>
      </c>
      <c r="E32" s="50">
        <v>0.57199999999999995</v>
      </c>
    </row>
    <row r="33" spans="1:5" x14ac:dyDescent="0.2">
      <c r="A33" s="49">
        <v>29</v>
      </c>
      <c r="B33" s="49">
        <v>2550</v>
      </c>
      <c r="C33" s="49" t="s">
        <v>120</v>
      </c>
      <c r="D33" s="49" t="s">
        <v>120</v>
      </c>
      <c r="E33" s="50">
        <v>0.60799999999999998</v>
      </c>
    </row>
    <row r="34" spans="1:5" x14ac:dyDescent="0.2">
      <c r="A34" s="49">
        <v>30</v>
      </c>
      <c r="B34" s="49">
        <v>2700</v>
      </c>
      <c r="C34" s="49" t="s">
        <v>120</v>
      </c>
      <c r="D34" s="49" t="s">
        <v>120</v>
      </c>
      <c r="E34" s="50">
        <v>0.64700000000000002</v>
      </c>
    </row>
    <row r="35" spans="1:5" x14ac:dyDescent="0.2">
      <c r="A35" s="49">
        <v>31</v>
      </c>
      <c r="B35" s="49">
        <v>2800</v>
      </c>
      <c r="C35" s="49" t="s">
        <v>120</v>
      </c>
      <c r="D35" s="49" t="s">
        <v>120</v>
      </c>
      <c r="E35" s="50">
        <v>0.68899999999999995</v>
      </c>
    </row>
    <row r="36" spans="1:5" x14ac:dyDescent="0.2">
      <c r="A36" s="49">
        <v>32</v>
      </c>
      <c r="B36" s="49">
        <v>2950</v>
      </c>
      <c r="C36" s="49" t="s">
        <v>120</v>
      </c>
      <c r="D36" s="49" t="s">
        <v>120</v>
      </c>
      <c r="E36" s="50">
        <v>0.73299999999999998</v>
      </c>
    </row>
    <row r="37" spans="1:5" x14ac:dyDescent="0.2">
      <c r="A37" s="49">
        <v>33</v>
      </c>
      <c r="B37" s="49">
        <v>3000</v>
      </c>
      <c r="C37" s="49" t="s">
        <v>120</v>
      </c>
      <c r="D37" s="49" t="s">
        <v>120</v>
      </c>
      <c r="E37" s="50">
        <v>0.78</v>
      </c>
    </row>
    <row r="38" spans="1:5" x14ac:dyDescent="0.2">
      <c r="A38" s="49">
        <v>34</v>
      </c>
      <c r="B38" s="49">
        <v>3100</v>
      </c>
      <c r="C38" s="49" t="s">
        <v>120</v>
      </c>
      <c r="D38" s="49" t="s">
        <v>120</v>
      </c>
      <c r="E38" s="50">
        <v>0.83</v>
      </c>
    </row>
    <row r="39" spans="1:5" x14ac:dyDescent="0.2">
      <c r="A39" s="49">
        <v>35</v>
      </c>
      <c r="B39" s="49">
        <v>3200</v>
      </c>
      <c r="C39" s="49" t="s">
        <v>120</v>
      </c>
      <c r="D39" s="49" t="s">
        <v>120</v>
      </c>
      <c r="E39" s="50">
        <v>0.88300000000000001</v>
      </c>
    </row>
    <row r="40" spans="1:5" x14ac:dyDescent="0.2">
      <c r="A40" s="49">
        <v>36</v>
      </c>
      <c r="B40" s="49">
        <v>3350</v>
      </c>
      <c r="C40" s="49" t="s">
        <v>120</v>
      </c>
      <c r="D40" s="49" t="s">
        <v>120</v>
      </c>
      <c r="E40" s="50">
        <v>0.94</v>
      </c>
    </row>
  </sheetData>
  <mergeCells count="1">
    <mergeCell ref="L5:L11"/>
  </mergeCells>
  <conditionalFormatting sqref="C5:E40">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gap" xr2:uid="{C280E635-6511-3949-9158-C5D5A47183CB}">
          <x14:colorSeries rgb="FF376092"/>
          <x14:colorNegative rgb="FFD00000"/>
          <x14:colorAxis rgb="FF000000"/>
          <x14:colorMarkers rgb="FFD00000"/>
          <x14:colorFirst rgb="FFD00000"/>
          <x14:colorLast rgb="FFD00000"/>
          <x14:colorHigh rgb="FFD00000"/>
          <x14:colorLow rgb="FFD00000"/>
          <x14:sparklines>
            <x14:sparkline>
              <xm:f>Analysis!H12:J12</xm:f>
              <xm:sqref>K12</xm:sqref>
            </x14:sparkline>
          </x14:sparklines>
        </x14:sparklineGroup>
        <x14:sparklineGroup displayEmptyCellsAs="gap" high="1" low="1" xr2:uid="{A0994CC2-B4C5-184E-BCD5-E3860FFDD559}">
          <x14:colorSeries rgb="FF0070C0"/>
          <x14:colorNegative rgb="FF000000"/>
          <x14:colorAxis rgb="FF000000"/>
          <x14:colorMarkers rgb="FF000000"/>
          <x14:colorFirst rgb="FF000000"/>
          <x14:colorLast rgb="FF000000"/>
          <x14:colorHigh rgb="FF000000"/>
          <x14:colorLow rgb="FF000000"/>
          <x14:sparklines>
            <x14:sparkline>
              <xm:f>Analysis!H5:J5</xm:f>
              <xm:sqref>K5</xm:sqref>
            </x14:sparkline>
            <x14:sparkline>
              <xm:f>Analysis!H6:J6</xm:f>
              <xm:sqref>K6</xm:sqref>
            </x14:sparkline>
            <x14:sparkline>
              <xm:f>Analysis!H7:J7</xm:f>
              <xm:sqref>K7</xm:sqref>
            </x14:sparkline>
            <x14:sparkline>
              <xm:f>Analysis!H8:J8</xm:f>
              <xm:sqref>K8</xm:sqref>
            </x14:sparkline>
            <x14:sparkline>
              <xm:f>Analysis!H9:J9</xm:f>
              <xm:sqref>K9</xm:sqref>
            </x14:sparkline>
            <x14:sparkline>
              <xm:f>Analysis!H10:J10</xm:f>
              <xm:sqref>K10</xm:sqref>
            </x14:sparkline>
            <x14:sparkline>
              <xm:f>Analysis!H11:J11</xm:f>
              <xm:sqref>K11</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9711-0441-4641-8F05-122D7CA8E1E0}">
  <sheetPr>
    <tabColor rgb="FF00B050"/>
  </sheetPr>
  <dimension ref="A1:X105"/>
  <sheetViews>
    <sheetView showGridLines="0" topLeftCell="A8" zoomScaleNormal="86" workbookViewId="0">
      <selection activeCell="G16" sqref="G16"/>
    </sheetView>
  </sheetViews>
  <sheetFormatPr baseColWidth="10" defaultRowHeight="16" x14ac:dyDescent="0.2"/>
  <cols>
    <col min="1" max="1" width="45.1640625" customWidth="1"/>
    <col min="2" max="2" width="23" customWidth="1"/>
    <col min="3" max="3" width="22.33203125" customWidth="1"/>
    <col min="4" max="4" width="19.1640625" customWidth="1"/>
    <col min="5" max="5" width="24.83203125" customWidth="1"/>
    <col min="6" max="6" width="25.5" customWidth="1"/>
    <col min="7" max="7" width="29" customWidth="1"/>
    <col min="8" max="8" width="19.1640625" customWidth="1"/>
    <col min="10" max="10" width="37.1640625" customWidth="1"/>
    <col min="11" max="11" width="39.33203125" customWidth="1"/>
    <col min="12" max="12" width="13.6640625" customWidth="1"/>
    <col min="13" max="23" width="11.6640625" bestFit="1" customWidth="1"/>
  </cols>
  <sheetData>
    <row r="1" spans="1:14" ht="21" x14ac:dyDescent="0.25">
      <c r="A1" s="43" t="s">
        <v>113</v>
      </c>
      <c r="B1" s="11"/>
      <c r="C1" s="11"/>
      <c r="D1" s="11"/>
      <c r="E1" s="11"/>
      <c r="F1" s="11"/>
      <c r="G1" s="11"/>
      <c r="J1" s="12" t="s">
        <v>84</v>
      </c>
      <c r="K1" s="12"/>
      <c r="L1" s="11"/>
      <c r="M1" s="11"/>
      <c r="N1" s="11"/>
    </row>
    <row r="2" spans="1:14" ht="17" thickBot="1" x14ac:dyDescent="0.25">
      <c r="A2" s="10"/>
      <c r="B2" s="40" t="s">
        <v>106</v>
      </c>
      <c r="C2" s="40" t="s">
        <v>107</v>
      </c>
      <c r="D2" s="40" t="s">
        <v>108</v>
      </c>
      <c r="E2" s="40" t="s">
        <v>109</v>
      </c>
      <c r="F2" s="41" t="s">
        <v>110</v>
      </c>
      <c r="G2" s="42" t="s">
        <v>111</v>
      </c>
      <c r="J2" s="2" t="s">
        <v>3</v>
      </c>
      <c r="K2" s="7"/>
      <c r="L2" s="7"/>
    </row>
    <row r="3" spans="1:14" ht="19" x14ac:dyDescent="0.25">
      <c r="A3" s="6" t="s">
        <v>12</v>
      </c>
      <c r="B3" s="5">
        <f>SUM(B4:B6)</f>
        <v>1648800</v>
      </c>
      <c r="C3" s="5">
        <f>SUM(C4:C6)</f>
        <v>4822187.343122378</v>
      </c>
      <c r="D3" s="5">
        <f>SUM(D4:D6)</f>
        <v>8119527.8544650581</v>
      </c>
      <c r="E3" s="5">
        <f>SUM(E4:E6)</f>
        <v>18666347.768344529</v>
      </c>
      <c r="F3" s="5">
        <f>SUM(F4:F6)</f>
        <v>31819426.602554459</v>
      </c>
      <c r="G3" s="5">
        <f>SUM(G4:G6)</f>
        <v>41905423.343571216</v>
      </c>
      <c r="J3" t="s">
        <v>144</v>
      </c>
      <c r="K3" s="54"/>
      <c r="L3" s="7"/>
    </row>
    <row r="4" spans="1:14" x14ac:dyDescent="0.2">
      <c r="A4" s="20" t="s">
        <v>75</v>
      </c>
      <c r="B4">
        <f>SUM('Historical_Data &amp; Analysis'!L27:L38)</f>
        <v>1396000</v>
      </c>
      <c r="C4" s="5">
        <f>SUM(L38:W38)</f>
        <v>4267422.4275419274</v>
      </c>
      <c r="D4" s="5">
        <f>B25*B61</f>
        <v>7201355.0815654611</v>
      </c>
      <c r="E4" s="5">
        <f>D25*C61</f>
        <v>16555519.085006235</v>
      </c>
      <c r="F4" s="5">
        <f>F25*D61</f>
        <v>28221220.933529455</v>
      </c>
      <c r="G4" s="5">
        <f>H25*E61</f>
        <v>36946776.961849332</v>
      </c>
      <c r="K4" s="7"/>
      <c r="L4" s="7"/>
    </row>
    <row r="5" spans="1:14" x14ac:dyDescent="0.2">
      <c r="A5" s="20" t="s">
        <v>76</v>
      </c>
      <c r="B5" s="5">
        <f>SUM('Historical_Data &amp; Analysis'!M27:M38)</f>
        <v>140400</v>
      </c>
      <c r="C5" s="5">
        <f>SUM(L39:W39)</f>
        <v>320056.68206564453</v>
      </c>
      <c r="D5" s="5">
        <f>B25*B39</f>
        <v>540101.63111740956</v>
      </c>
      <c r="E5" s="5">
        <f>D25*C62</f>
        <v>1241663.9313754677</v>
      </c>
      <c r="F5" s="5">
        <f>F25*D62</f>
        <v>2116591.5700147091</v>
      </c>
      <c r="G5" s="5">
        <f>H25*E62</f>
        <v>2916850.8127775788</v>
      </c>
      <c r="J5" s="2" t="s">
        <v>145</v>
      </c>
      <c r="K5" s="7"/>
      <c r="L5" s="7"/>
    </row>
    <row r="6" spans="1:14" x14ac:dyDescent="0.2">
      <c r="A6" s="20" t="s">
        <v>15</v>
      </c>
      <c r="B6" s="5">
        <f>SUM('Historical_Data &amp; Analysis'!N27:N38)</f>
        <v>112400</v>
      </c>
      <c r="C6" s="5">
        <f>SUM(L40:W40)</f>
        <v>234708.23351480599</v>
      </c>
      <c r="D6" s="5">
        <f>B25*B63</f>
        <v>378071.14178218669</v>
      </c>
      <c r="E6" s="5">
        <f>D25*C63</f>
        <v>869164.75196282729</v>
      </c>
      <c r="F6" s="5">
        <f>F25*D63</f>
        <v>1481614.0990102962</v>
      </c>
      <c r="G6" s="5">
        <f>H25*E63</f>
        <v>2041795.5689443049</v>
      </c>
      <c r="J6" t="s">
        <v>146</v>
      </c>
      <c r="K6" s="54"/>
      <c r="L6" s="7"/>
    </row>
    <row r="7" spans="1:14" ht="19" x14ac:dyDescent="0.25">
      <c r="A7" s="6" t="s">
        <v>77</v>
      </c>
      <c r="B7">
        <f>SUM(B8:B9)</f>
        <v>313500</v>
      </c>
      <c r="C7">
        <f t="shared" ref="C7:G7" si="0">SUM(C8:C9)</f>
        <v>618776.25199357944</v>
      </c>
      <c r="D7">
        <f t="shared" si="0"/>
        <v>1026193.0991230783</v>
      </c>
      <c r="E7">
        <f t="shared" si="0"/>
        <v>3021382.2330136378</v>
      </c>
      <c r="F7">
        <f t="shared" si="0"/>
        <v>6420327.7623779504</v>
      </c>
      <c r="G7">
        <f t="shared" si="0"/>
        <v>9431150.9613141716</v>
      </c>
      <c r="K7" s="54"/>
      <c r="L7" s="7"/>
    </row>
    <row r="8" spans="1:14" x14ac:dyDescent="0.2">
      <c r="A8" s="20" t="s">
        <v>78</v>
      </c>
      <c r="B8">
        <f>SUM('Historical_Data &amp; Analysis'!O27:O38)</f>
        <v>273000</v>
      </c>
      <c r="C8" s="5">
        <f>SUM(L42:W42)</f>
        <v>533427.80344274093</v>
      </c>
      <c r="D8" s="5">
        <f>(B54*B25)*B55</f>
        <v>900169.38519568276</v>
      </c>
      <c r="E8" s="5">
        <f>(D25*C54)*C55</f>
        <v>2731660.6490260288</v>
      </c>
      <c r="F8" s="5">
        <f>(D54*F25)*D55</f>
        <v>5926456.3960411847</v>
      </c>
      <c r="G8" s="5">
        <f>(H25*E54)*E55</f>
        <v>8847780.7987586558</v>
      </c>
      <c r="J8" s="2" t="s">
        <v>10</v>
      </c>
      <c r="K8" s="54"/>
      <c r="L8" s="7"/>
    </row>
    <row r="9" spans="1:14" x14ac:dyDescent="0.2">
      <c r="A9" s="20" t="s">
        <v>79</v>
      </c>
      <c r="B9">
        <f>SUM('Historical_Data &amp; Analysis'!P27:P38)</f>
        <v>40500</v>
      </c>
      <c r="C9" s="5">
        <f>SUM(L43:W43)</f>
        <v>85348.448550838555</v>
      </c>
      <c r="D9" s="5">
        <f>B25*B56</f>
        <v>126023.71392739557</v>
      </c>
      <c r="E9" s="5">
        <f>C56*D25</f>
        <v>289721.58398760908</v>
      </c>
      <c r="F9" s="5">
        <f>F25*D56</f>
        <v>493871.36633676541</v>
      </c>
      <c r="G9" s="5">
        <f>E56*H25</f>
        <v>583370.16255551577</v>
      </c>
      <c r="J9" t="s">
        <v>147</v>
      </c>
      <c r="K9" s="54"/>
      <c r="L9" s="7"/>
    </row>
    <row r="10" spans="1:14" x14ac:dyDescent="0.2">
      <c r="A10" s="20" t="s">
        <v>66</v>
      </c>
      <c r="B10" s="9">
        <f>(B3-B7)/B3</f>
        <v>0.80986171761280934</v>
      </c>
      <c r="C10" s="9">
        <f>(C3-C7)/C3</f>
        <v>0.87168141592920345</v>
      </c>
      <c r="D10" s="9">
        <f>(D3-D7)/D3</f>
        <v>0.87361419068736146</v>
      </c>
      <c r="E10" s="9">
        <f>(E3-E7)/E3</f>
        <v>0.83813747228381374</v>
      </c>
      <c r="F10" s="9">
        <f>(F3-F7)/F3</f>
        <v>0.79822616407982261</v>
      </c>
      <c r="G10" s="9">
        <f>(G3-G7)/G3</f>
        <v>0.77494199535962882</v>
      </c>
      <c r="K10" s="54"/>
      <c r="L10" s="7"/>
    </row>
    <row r="11" spans="1:14" ht="19" x14ac:dyDescent="0.25">
      <c r="A11" s="6" t="s">
        <v>81</v>
      </c>
      <c r="B11">
        <f>SUM(B12:B16)</f>
        <v>3857600</v>
      </c>
      <c r="C11">
        <f t="shared" ref="C11:G11" si="1">SUM(C12:C16)</f>
        <v>7764206.16274668</v>
      </c>
      <c r="D11">
        <f t="shared" si="1"/>
        <v>12905315.190918133</v>
      </c>
      <c r="E11" s="5">
        <f>SUM(E12:E16)</f>
        <v>22020150.326551817</v>
      </c>
      <c r="F11">
        <f t="shared" si="1"/>
        <v>30744016.803382672</v>
      </c>
      <c r="G11">
        <f t="shared" si="1"/>
        <v>34812142.964746624</v>
      </c>
      <c r="J11" s="2" t="s">
        <v>12</v>
      </c>
      <c r="K11" s="7"/>
      <c r="L11" s="7"/>
    </row>
    <row r="12" spans="1:14" x14ac:dyDescent="0.2">
      <c r="A12" s="20" t="s">
        <v>82</v>
      </c>
      <c r="B12">
        <v>2099000</v>
      </c>
      <c r="C12" s="5">
        <f>SUM(L49:W49)</f>
        <v>3664493.4366071508</v>
      </c>
      <c r="D12" s="5">
        <f>B22*B67</f>
        <v>4675786.6375821605</v>
      </c>
      <c r="E12" s="5">
        <f>D22*C67</f>
        <v>5131451.4199598329</v>
      </c>
      <c r="F12" s="5">
        <f>F22*D67</f>
        <v>5593264.7074212208</v>
      </c>
      <c r="G12" s="5">
        <f>H22*E67</f>
        <v>5723848.2343222201</v>
      </c>
      <c r="J12" t="s">
        <v>148</v>
      </c>
      <c r="K12" s="7"/>
      <c r="L12" s="7"/>
    </row>
    <row r="13" spans="1:14" x14ac:dyDescent="0.2">
      <c r="A13" s="20" t="s">
        <v>20</v>
      </c>
      <c r="B13">
        <f>SUM('Historical_Data &amp; Analysis'!S27:S38)</f>
        <v>123700</v>
      </c>
      <c r="C13" s="5">
        <f>SUM(L50:W50)</f>
        <v>266713.90172137046</v>
      </c>
      <c r="D13" s="5">
        <f>B25*B60</f>
        <v>396074.52948610036</v>
      </c>
      <c r="E13" s="5">
        <f>D25*C60</f>
        <v>827775.95425031171</v>
      </c>
      <c r="F13" s="5">
        <f>F25*D60</f>
        <v>1411061.0466764728</v>
      </c>
      <c r="G13" s="5">
        <f>H25*E60</f>
        <v>1555653.7668147087</v>
      </c>
      <c r="J13" t="s">
        <v>149</v>
      </c>
      <c r="K13" s="7"/>
      <c r="L13" s="7"/>
    </row>
    <row r="14" spans="1:14" x14ac:dyDescent="0.2">
      <c r="A14" s="20" t="s">
        <v>18</v>
      </c>
      <c r="B14" s="5">
        <f>SUM('Historical_Data &amp; Analysis'!Q27:Q38)</f>
        <v>1144000</v>
      </c>
      <c r="C14" s="5">
        <f>SUM(L51:W51)</f>
        <v>2555759.2918548598</v>
      </c>
      <c r="D14" s="56">
        <f>D3*B57</f>
        <v>4059763.927232529</v>
      </c>
      <c r="E14" s="56">
        <f>E3*C57</f>
        <v>8399856.4957550392</v>
      </c>
      <c r="F14" s="56">
        <f>F3*D57</f>
        <v>12727770.641021784</v>
      </c>
      <c r="G14" s="56">
        <f>G3*E57</f>
        <v>14666898.170249924</v>
      </c>
      <c r="J14" t="s">
        <v>150</v>
      </c>
      <c r="K14" s="7"/>
      <c r="L14" s="7"/>
    </row>
    <row r="15" spans="1:14" x14ac:dyDescent="0.2">
      <c r="A15" s="20" t="s">
        <v>21</v>
      </c>
      <c r="B15">
        <f>SUM('Historical_Data &amp; Analysis'!T27:T38)</f>
        <v>204900</v>
      </c>
      <c r="C15" s="5">
        <f>C3*B35</f>
        <v>530440.60774346162</v>
      </c>
      <c r="D15" s="5">
        <f>D3*B58</f>
        <v>893148.06399115641</v>
      </c>
      <c r="E15" s="5">
        <f>E3*C58</f>
        <v>1866634.776834453</v>
      </c>
      <c r="F15" s="5">
        <f>F3*D58</f>
        <v>2545554.1282043569</v>
      </c>
      <c r="G15" s="5">
        <f>G3*E58</f>
        <v>3142906.750767841</v>
      </c>
      <c r="J15" t="s">
        <v>151</v>
      </c>
      <c r="K15" s="7"/>
      <c r="L15" s="7"/>
    </row>
    <row r="16" spans="1:14" x14ac:dyDescent="0.2">
      <c r="A16" s="20" t="s">
        <v>80</v>
      </c>
      <c r="B16">
        <f>SUM('Historical_Data &amp; Analysis'!R27:R38)</f>
        <v>286000</v>
      </c>
      <c r="C16" s="5">
        <f>SUM(L44:W44)</f>
        <v>746798.92481983721</v>
      </c>
      <c r="D16" s="5">
        <f>B25*B59</f>
        <v>2880542.0326261846</v>
      </c>
      <c r="E16" s="5">
        <f>D25*C59</f>
        <v>5794431.6797521822</v>
      </c>
      <c r="F16" s="5">
        <f>F25*D59</f>
        <v>8466366.2800588366</v>
      </c>
      <c r="G16" s="5">
        <f>H25*E59</f>
        <v>9722836.0425919294</v>
      </c>
      <c r="K16" s="7"/>
      <c r="L16" s="7"/>
    </row>
    <row r="17" spans="1:24" ht="19" x14ac:dyDescent="0.25">
      <c r="A17" s="6" t="s">
        <v>83</v>
      </c>
      <c r="B17">
        <f>B3-B7-B11</f>
        <v>-2522300</v>
      </c>
      <c r="C17" s="5">
        <f>C3-C7-C11</f>
        <v>-3560795.0716178818</v>
      </c>
      <c r="D17" s="5">
        <f>D3-D7-D11</f>
        <v>-5811980.435576153</v>
      </c>
      <c r="E17" s="5">
        <f>E3-E7-E11</f>
        <v>-6375184.7912209257</v>
      </c>
      <c r="F17" s="5">
        <f>F3-F7-F11</f>
        <v>-5344917.9632061645</v>
      </c>
      <c r="G17" s="5">
        <f>G3-G7-G11</f>
        <v>-2337870.5824895799</v>
      </c>
      <c r="J17" s="2" t="s">
        <v>77</v>
      </c>
      <c r="K17" s="57"/>
      <c r="L17" s="7"/>
    </row>
    <row r="18" spans="1:24" ht="24" customHeight="1" x14ac:dyDescent="0.2">
      <c r="J18" t="s">
        <v>152</v>
      </c>
      <c r="K18" s="7"/>
      <c r="L18" s="7"/>
    </row>
    <row r="19" spans="1:24" x14ac:dyDescent="0.2">
      <c r="J19" t="s">
        <v>153</v>
      </c>
      <c r="K19" s="7"/>
      <c r="L19" s="7"/>
    </row>
    <row r="20" spans="1:24" x14ac:dyDescent="0.2">
      <c r="J20" t="s">
        <v>154</v>
      </c>
      <c r="K20" s="7"/>
      <c r="L20" s="7"/>
    </row>
    <row r="21" spans="1:24" ht="21" x14ac:dyDescent="0.25">
      <c r="A21" s="59" t="s">
        <v>160</v>
      </c>
      <c r="B21" s="45">
        <v>2026</v>
      </c>
      <c r="C21" s="46">
        <v>46082</v>
      </c>
      <c r="D21" s="45">
        <v>2027</v>
      </c>
      <c r="E21" s="46">
        <v>46447</v>
      </c>
      <c r="F21" s="45">
        <v>2028</v>
      </c>
      <c r="G21" s="46">
        <v>46813</v>
      </c>
      <c r="H21" s="45">
        <v>2029</v>
      </c>
      <c r="K21" s="54"/>
      <c r="L21" s="7"/>
    </row>
    <row r="22" spans="1:24" x14ac:dyDescent="0.2">
      <c r="A22" t="s">
        <v>86</v>
      </c>
      <c r="B22" s="5">
        <f>W30*(((1+B52)^12-1)/(B52))</f>
        <v>71935.179039725554</v>
      </c>
      <c r="C22">
        <f>W30*(1+B52)^11</f>
        <v>6668.7857970551395</v>
      </c>
      <c r="D22" s="5">
        <f>C22*(((1+C52)^12-1)/(C52))</f>
        <v>85524.190332663886</v>
      </c>
      <c r="E22">
        <f>C22*(1+C52)^11</f>
        <v>7603.8301196117654</v>
      </c>
      <c r="F22" s="5">
        <f>E22*(((1+D52)^12-1)/(D52))</f>
        <v>96435.598403814147</v>
      </c>
      <c r="G22">
        <f>E22*(1+D52)^11</f>
        <v>8483.3525778711937</v>
      </c>
      <c r="H22" s="5">
        <f>G22*(((1+E52)^12-1)/(E52))</f>
        <v>104069.96789676764</v>
      </c>
      <c r="J22" s="2" t="s">
        <v>81</v>
      </c>
      <c r="K22" s="54"/>
      <c r="L22" s="7"/>
    </row>
    <row r="23" spans="1:24" x14ac:dyDescent="0.2">
      <c r="A23" t="s">
        <v>125</v>
      </c>
      <c r="B23" s="5">
        <f>B22*B53</f>
        <v>10070.925065561578</v>
      </c>
      <c r="C23" s="5"/>
      <c r="D23" s="5">
        <f>D22*C53</f>
        <v>12828.628549899582</v>
      </c>
      <c r="F23" s="5">
        <f>F22*D53</f>
        <v>15911.873736629335</v>
      </c>
      <c r="H23" s="5">
        <f>H22*E53</f>
        <v>17691.8945424505</v>
      </c>
      <c r="J23" t="s">
        <v>155</v>
      </c>
      <c r="K23" s="54"/>
      <c r="L23" s="7"/>
      <c r="R23" s="4"/>
    </row>
    <row r="24" spans="1:24" x14ac:dyDescent="0.2">
      <c r="A24" t="s">
        <v>85</v>
      </c>
      <c r="B24" s="5">
        <f>(B23 / B64) + (W32 - (B23 / B64)) * (1 - B64)^12</f>
        <v>93687.773538077512</v>
      </c>
      <c r="C24" s="5"/>
      <c r="D24" s="5">
        <f>(D23 / C64) + (W32 - (D23 / C64)) * (1 - C64)^24</f>
        <v>202870.43195126811</v>
      </c>
      <c r="F24" s="5">
        <f>(F23 / D64) + (W32 - (F23 / D64)) * (1 - D64)^36</f>
        <v>325730.9375074557</v>
      </c>
      <c r="H24" s="5">
        <f>(H23 / E64) + (W32 - (H23 / E64)) * (1 - E64)^48</f>
        <v>438251.59540967608</v>
      </c>
      <c r="J24" t="s">
        <v>156</v>
      </c>
      <c r="K24" s="7"/>
      <c r="L24" s="7"/>
    </row>
    <row r="25" spans="1:24" x14ac:dyDescent="0.2">
      <c r="A25" t="s">
        <v>10</v>
      </c>
      <c r="B25" s="5">
        <f>B51*B24</f>
        <v>180033877.03913653</v>
      </c>
      <c r="C25" s="5"/>
      <c r="D25" s="5">
        <f>D24*C51</f>
        <v>413887977.12515587</v>
      </c>
      <c r="F25">
        <f>F24*D51</f>
        <v>705530523.33823633</v>
      </c>
      <c r="H25" s="5">
        <f>H24*E51</f>
        <v>972283604.25919294</v>
      </c>
      <c r="J25" t="s">
        <v>157</v>
      </c>
      <c r="K25" s="54"/>
      <c r="L25" s="7"/>
    </row>
    <row r="26" spans="1:24" x14ac:dyDescent="0.2">
      <c r="B26" s="5"/>
      <c r="C26" s="5"/>
      <c r="D26" s="5"/>
      <c r="E26" s="5"/>
      <c r="F26" s="5"/>
      <c r="G26" s="5"/>
      <c r="H26" s="5"/>
      <c r="J26" t="s">
        <v>158</v>
      </c>
      <c r="K26" s="22"/>
    </row>
    <row r="27" spans="1:24" x14ac:dyDescent="0.2">
      <c r="G27" s="9"/>
      <c r="J27" t="s">
        <v>159</v>
      </c>
    </row>
    <row r="28" spans="1:24" ht="21" x14ac:dyDescent="0.25">
      <c r="A28" s="43" t="s">
        <v>88</v>
      </c>
      <c r="B28" s="43" t="s">
        <v>107</v>
      </c>
      <c r="C28" s="44" t="s">
        <v>89</v>
      </c>
    </row>
    <row r="29" spans="1:24" ht="19" x14ac:dyDescent="0.25">
      <c r="A29" t="s">
        <v>126</v>
      </c>
      <c r="B29" s="55">
        <v>1810</v>
      </c>
      <c r="C29" s="31" t="s">
        <v>96</v>
      </c>
      <c r="J29" s="12" t="s">
        <v>112</v>
      </c>
      <c r="K29" s="11"/>
      <c r="L29" s="48" t="s">
        <v>27</v>
      </c>
      <c r="M29" s="48" t="s">
        <v>28</v>
      </c>
      <c r="N29" s="48" t="s">
        <v>29</v>
      </c>
      <c r="O29" s="48" t="s">
        <v>30</v>
      </c>
      <c r="P29" s="48" t="s">
        <v>31</v>
      </c>
      <c r="Q29" s="48" t="s">
        <v>32</v>
      </c>
      <c r="R29" s="48" t="s">
        <v>33</v>
      </c>
      <c r="S29" s="48" t="s">
        <v>34</v>
      </c>
      <c r="T29" s="48" t="s">
        <v>35</v>
      </c>
      <c r="U29" s="48" t="s">
        <v>36</v>
      </c>
      <c r="V29" s="48" t="s">
        <v>37</v>
      </c>
      <c r="W29" s="48" t="s">
        <v>38</v>
      </c>
    </row>
    <row r="30" spans="1:24" x14ac:dyDescent="0.2">
      <c r="A30" s="29" t="s">
        <v>124</v>
      </c>
      <c r="B30" s="30">
        <v>0.13</v>
      </c>
      <c r="C30" s="31" t="s">
        <v>94</v>
      </c>
      <c r="F30" t="s">
        <v>91</v>
      </c>
      <c r="J30" t="s">
        <v>104</v>
      </c>
      <c r="L30">
        <f>(1+$B$41)*'Historical_Data &amp; Analysis'!B38</f>
        <v>3484</v>
      </c>
      <c r="M30" s="5">
        <f>(1+$B$38)*L30</f>
        <v>3623.36</v>
      </c>
      <c r="N30" s="5">
        <f>(1+$B$38)*M30</f>
        <v>3768.2944000000002</v>
      </c>
      <c r="O30" s="5">
        <f>(1+$B$38)*N30</f>
        <v>3919.0261760000003</v>
      </c>
      <c r="P30" s="5">
        <f>(1+$B$38)*O30</f>
        <v>4075.7872230400003</v>
      </c>
      <c r="Q30" s="5">
        <f>(1+$B$38)*P30</f>
        <v>4238.8187119616005</v>
      </c>
      <c r="R30" s="5">
        <f>(1+$B$38)*Q30</f>
        <v>4408.3714604400648</v>
      </c>
      <c r="S30" s="5">
        <f>(1+$B$38)*R30</f>
        <v>4584.7063188576676</v>
      </c>
      <c r="T30" s="5">
        <f>(1+$B$38)*S30</f>
        <v>4768.0945716119741</v>
      </c>
      <c r="U30" s="5">
        <f>(1+$B$38)*T30</f>
        <v>4958.8183544764534</v>
      </c>
      <c r="V30" s="5">
        <f>(1+$B$38)*U30</f>
        <v>5157.171088655512</v>
      </c>
      <c r="W30" s="5">
        <f>(1+$B$38)*V30</f>
        <v>5363.4579322017325</v>
      </c>
    </row>
    <row r="31" spans="1:24" x14ac:dyDescent="0.2">
      <c r="A31" s="29" t="s">
        <v>100</v>
      </c>
      <c r="B31" s="30">
        <v>1E-3</v>
      </c>
      <c r="C31" s="31" t="s">
        <v>101</v>
      </c>
      <c r="J31" t="s">
        <v>125</v>
      </c>
      <c r="L31" s="4">
        <f>L30*$B$30</f>
        <v>452.92</v>
      </c>
      <c r="M31" s="4">
        <f>M30*$B$30</f>
        <v>471.03680000000003</v>
      </c>
      <c r="N31" s="4">
        <f>N30*$B$30</f>
        <v>489.87827200000004</v>
      </c>
      <c r="O31" s="4">
        <f>O30*$B$30</f>
        <v>509.47340288000004</v>
      </c>
      <c r="P31" s="4">
        <f>P30*$B$30</f>
        <v>529.85233899520006</v>
      </c>
      <c r="Q31" s="4">
        <f>Q30*$B$30</f>
        <v>551.0464325550081</v>
      </c>
      <c r="R31" s="4">
        <f>R30*$B$30</f>
        <v>573.08828985720845</v>
      </c>
      <c r="S31" s="4">
        <f>S30*$B$30</f>
        <v>596.01182145149676</v>
      </c>
      <c r="T31" s="4">
        <f>T30*$B$30</f>
        <v>619.85229430955667</v>
      </c>
      <c r="U31" s="4">
        <f>U30*$B$30</f>
        <v>644.646386081939</v>
      </c>
      <c r="V31" s="4">
        <f>V30*$B$30</f>
        <v>670.43224152521657</v>
      </c>
      <c r="W31" s="4">
        <f>W30*$B$30</f>
        <v>697.24953118622523</v>
      </c>
    </row>
    <row r="32" spans="1:24" x14ac:dyDescent="0.2">
      <c r="A32" s="29" t="s">
        <v>161</v>
      </c>
      <c r="B32" s="32">
        <v>5</v>
      </c>
      <c r="C32" s="31" t="s">
        <v>105</v>
      </c>
      <c r="J32" t="s">
        <v>85</v>
      </c>
      <c r="L32" s="5">
        <f>('Historical_Data &amp; Analysis'!G38*(1-B43))+L31</f>
        <v>3036.92</v>
      </c>
      <c r="M32" s="5">
        <f>(L32*(1-$B$43))+M31</f>
        <v>3356.1107999999999</v>
      </c>
      <c r="N32" s="5">
        <f>(M32*(1-$B$43))+N31</f>
        <v>3678.1835319999996</v>
      </c>
      <c r="O32" s="5">
        <f>(N32*(1-$B$43))+O31</f>
        <v>4003.7477582799993</v>
      </c>
      <c r="P32" s="5">
        <f>(O32*(1-$B$43))+P31</f>
        <v>4333.4127093611987</v>
      </c>
      <c r="Q32" s="5">
        <f>(P32*(1-$B$43))+Q31</f>
        <v>4667.788506448147</v>
      </c>
      <c r="R32" s="5">
        <f>(Q32*(1-$B$43))+R31</f>
        <v>5007.4873709829471</v>
      </c>
      <c r="S32" s="5">
        <f>(R32*(1-$B$43))+S31</f>
        <v>5353.1248238852968</v>
      </c>
      <c r="T32" s="5">
        <f>(S32*(1-$B$43))+T31</f>
        <v>5705.3208770005886</v>
      </c>
      <c r="U32" s="5">
        <f>(T32*(1-$B$43))+U31</f>
        <v>6064.7012192324983</v>
      </c>
      <c r="V32" s="5">
        <f>(U32*(1-$B$43))+V31</f>
        <v>6431.8983997960895</v>
      </c>
      <c r="W32" s="5">
        <f>(V32*(1-$B$43))+W31</f>
        <v>6807.5530109925094</v>
      </c>
      <c r="X32" s="5"/>
    </row>
    <row r="33" spans="1:23" x14ac:dyDescent="0.2">
      <c r="A33" s="29" t="s">
        <v>79</v>
      </c>
      <c r="B33" s="33">
        <v>8.0000000000000004E-4</v>
      </c>
      <c r="C33" s="31" t="s">
        <v>101</v>
      </c>
      <c r="J33" t="s">
        <v>10</v>
      </c>
      <c r="L33" s="5">
        <f>B29*L32</f>
        <v>5496825.2000000002</v>
      </c>
      <c r="M33" s="5">
        <f>($B$29*((1+0.5%)^(1)))*M32</f>
        <v>6104933.3507399987</v>
      </c>
      <c r="N33" s="5">
        <f>($B$29*((1+0.5%)^(2)))*N32</f>
        <v>6724253.7526540207</v>
      </c>
      <c r="O33" s="5">
        <f>($B$29*((1+0.5%)^(3)))*O32</f>
        <v>7356029.6087302146</v>
      </c>
      <c r="P33" s="5">
        <f>($B$29*((1+0.5%)^(4)))*P32</f>
        <v>8001526.9922139067</v>
      </c>
      <c r="Q33" s="5">
        <f>($B$29*((1+0.5%)^(5)))*Q32</f>
        <v>8662037.3881871626</v>
      </c>
      <c r="R33" s="5">
        <f>($B$29*((1+0.5%)^(1)))*R32</f>
        <v>9108869.9021865278</v>
      </c>
      <c r="S33" s="5">
        <f>($B$29*((1+0.5%)^(1)))*S32</f>
        <v>9737601.7108885478</v>
      </c>
      <c r="T33" s="5">
        <f>($B$29*((1+0.5%)^(1)))*T32</f>
        <v>10378263.941307919</v>
      </c>
      <c r="U33" s="5">
        <f>($B$29*((1+0.5%)^(1)))*U32</f>
        <v>11031994.752844874</v>
      </c>
      <c r="V33" s="5">
        <f>($B$29*((1+0.5%)^(1)))*V32</f>
        <v>11699944.784149075</v>
      </c>
      <c r="W33" s="5">
        <f>($B$29*((1+0.5%)^(1)))*W32</f>
        <v>12383279.304645922</v>
      </c>
    </row>
    <row r="34" spans="1:23" x14ac:dyDescent="0.2">
      <c r="A34" s="29" t="s">
        <v>18</v>
      </c>
      <c r="B34" s="34">
        <v>0.53</v>
      </c>
      <c r="C34" s="31" t="s">
        <v>128</v>
      </c>
      <c r="D34" s="28"/>
      <c r="E34" s="28"/>
      <c r="F34" s="28"/>
      <c r="L34" s="5"/>
      <c r="M34" s="5"/>
      <c r="N34" s="5"/>
      <c r="O34" s="5"/>
      <c r="P34" s="5"/>
      <c r="Q34" s="5"/>
      <c r="R34" s="5"/>
      <c r="S34" s="5"/>
      <c r="T34" s="5"/>
      <c r="U34" s="5"/>
      <c r="V34" s="5"/>
      <c r="W34" s="5"/>
    </row>
    <row r="35" spans="1:23" ht="17" thickBot="1" x14ac:dyDescent="0.25">
      <c r="A35" s="29" t="s">
        <v>21</v>
      </c>
      <c r="B35" s="30">
        <v>0.11</v>
      </c>
      <c r="C35" s="31" t="s">
        <v>127</v>
      </c>
      <c r="J35" s="10"/>
      <c r="K35" s="21" t="s">
        <v>26</v>
      </c>
      <c r="L35" s="10" t="s">
        <v>27</v>
      </c>
      <c r="M35" s="10" t="s">
        <v>28</v>
      </c>
      <c r="N35" s="10" t="s">
        <v>29</v>
      </c>
      <c r="O35" s="10" t="s">
        <v>30</v>
      </c>
      <c r="P35" s="10" t="s">
        <v>31</v>
      </c>
      <c r="Q35" s="10" t="s">
        <v>32</v>
      </c>
      <c r="R35" s="10" t="s">
        <v>33</v>
      </c>
      <c r="S35" s="10" t="s">
        <v>34</v>
      </c>
      <c r="T35" s="10" t="s">
        <v>35</v>
      </c>
      <c r="U35" s="10" t="s">
        <v>36</v>
      </c>
      <c r="V35" s="10" t="s">
        <v>37</v>
      </c>
      <c r="W35" s="10" t="s">
        <v>38</v>
      </c>
    </row>
    <row r="36" spans="1:23" x14ac:dyDescent="0.2">
      <c r="A36" s="29" t="s">
        <v>80</v>
      </c>
      <c r="B36" s="30">
        <v>7.0000000000000001E-3</v>
      </c>
      <c r="C36" s="31" t="s">
        <v>101</v>
      </c>
      <c r="J36" s="7"/>
      <c r="K36" s="54"/>
      <c r="L36" s="7"/>
      <c r="M36" s="7"/>
      <c r="N36" s="7"/>
      <c r="O36" s="7"/>
      <c r="P36" s="7"/>
      <c r="Q36" s="7"/>
      <c r="R36" s="7"/>
      <c r="S36" s="7"/>
      <c r="T36" s="7"/>
      <c r="U36" s="7"/>
      <c r="V36" s="7"/>
      <c r="W36" s="7"/>
    </row>
    <row r="37" spans="1:23" ht="19" x14ac:dyDescent="0.25">
      <c r="A37" s="29" t="s">
        <v>20</v>
      </c>
      <c r="B37" s="30">
        <v>2.5000000000000001E-3</v>
      </c>
      <c r="C37" s="31" t="s">
        <v>101</v>
      </c>
      <c r="D37" s="13"/>
      <c r="J37" s="6" t="s">
        <v>12</v>
      </c>
      <c r="K37">
        <f>SUM(K38:K40)</f>
        <v>170400</v>
      </c>
      <c r="L37" s="5">
        <f>SUM(L38:L40)</f>
        <v>248456.49904</v>
      </c>
      <c r="M37" s="5">
        <f t="shared" ref="M37:W37" si="2">SUM(M38:M40)</f>
        <v>275942.98745344795</v>
      </c>
      <c r="N37" s="5">
        <f t="shared" si="2"/>
        <v>303936.26961996173</v>
      </c>
      <c r="O37" s="5">
        <f t="shared" si="2"/>
        <v>332492.53831460571</v>
      </c>
      <c r="P37" s="5">
        <f t="shared" si="2"/>
        <v>361669.0200480686</v>
      </c>
      <c r="Q37" s="5">
        <f t="shared" si="2"/>
        <v>391524.08994605974</v>
      </c>
      <c r="R37" s="5">
        <f t="shared" si="2"/>
        <v>411720.91957883106</v>
      </c>
      <c r="S37" s="5">
        <f t="shared" si="2"/>
        <v>440139.59733216243</v>
      </c>
      <c r="T37" s="5">
        <f t="shared" si="2"/>
        <v>469097.53014711791</v>
      </c>
      <c r="U37" s="5">
        <f t="shared" si="2"/>
        <v>498646.16282858833</v>
      </c>
      <c r="V37" s="5">
        <f t="shared" si="2"/>
        <v>528837.50424353825</v>
      </c>
      <c r="W37" s="5">
        <f t="shared" si="2"/>
        <v>559724.22456999577</v>
      </c>
    </row>
    <row r="38" spans="1:23" x14ac:dyDescent="0.2">
      <c r="A38" s="29" t="s">
        <v>75</v>
      </c>
      <c r="B38" s="30">
        <v>0.04</v>
      </c>
      <c r="C38" s="31" t="s">
        <v>162</v>
      </c>
      <c r="D38" s="13"/>
      <c r="J38" s="20" t="s">
        <v>75</v>
      </c>
      <c r="K38">
        <f>'Historical_Data &amp; Analysis'!L38</f>
        <v>146000</v>
      </c>
      <c r="L38" s="5">
        <f>L33*$B$38</f>
        <v>219873.008</v>
      </c>
      <c r="M38" s="5">
        <f>M33*$B$38</f>
        <v>244197.33402959997</v>
      </c>
      <c r="N38" s="5">
        <f>N33*$B$38</f>
        <v>268970.15010616084</v>
      </c>
      <c r="O38" s="5">
        <f>O33*$B$38</f>
        <v>294241.1843492086</v>
      </c>
      <c r="P38" s="5">
        <f>P33*$B$38</f>
        <v>320061.07968855626</v>
      </c>
      <c r="Q38" s="5">
        <f>Q33*$B$38</f>
        <v>346481.49552748649</v>
      </c>
      <c r="R38" s="5">
        <f>R33*$B$38</f>
        <v>364354.79608746112</v>
      </c>
      <c r="S38" s="5">
        <f>S33*$B$38</f>
        <v>389504.06843554194</v>
      </c>
      <c r="T38" s="5">
        <f>T33*$B$38</f>
        <v>415130.55765231675</v>
      </c>
      <c r="U38" s="5">
        <f>U33*$B$38</f>
        <v>441279.79011379497</v>
      </c>
      <c r="V38" s="5">
        <f>V33*$B$38</f>
        <v>467997.791365963</v>
      </c>
      <c r="W38" s="5">
        <f>W33*$B$38</f>
        <v>495331.17218583688</v>
      </c>
    </row>
    <row r="39" spans="1:23" ht="17" x14ac:dyDescent="0.2">
      <c r="A39" s="29" t="s">
        <v>76</v>
      </c>
      <c r="B39" s="30">
        <v>3.0000000000000001E-3</v>
      </c>
      <c r="C39" s="35" t="s">
        <v>98</v>
      </c>
      <c r="D39" s="24"/>
      <c r="J39" s="20" t="s">
        <v>76</v>
      </c>
      <c r="K39">
        <f>'Historical_Data &amp; Analysis'!M38</f>
        <v>14500</v>
      </c>
      <c r="L39" s="5">
        <f>L33*$B$39</f>
        <v>16490.475600000002</v>
      </c>
      <c r="M39" s="5">
        <f>M33*$B$39</f>
        <v>18314.800052219998</v>
      </c>
      <c r="N39" s="5">
        <f>N33*$B$39</f>
        <v>20172.761257962062</v>
      </c>
      <c r="O39" s="5">
        <f>O33*$B$39</f>
        <v>22068.088826190644</v>
      </c>
      <c r="P39" s="5">
        <f>P33*$B$39</f>
        <v>24004.580976641722</v>
      </c>
      <c r="Q39" s="5">
        <f>Q33*$B$39</f>
        <v>25986.112164561488</v>
      </c>
      <c r="R39" s="5">
        <f>R33*$B$39</f>
        <v>27326.609706559586</v>
      </c>
      <c r="S39" s="5">
        <f>S33*$B$39</f>
        <v>29212.805132665642</v>
      </c>
      <c r="T39" s="5">
        <f>T33*$B$39</f>
        <v>31134.791823923759</v>
      </c>
      <c r="U39" s="5">
        <f>U33*$B$39</f>
        <v>33095.98425853462</v>
      </c>
      <c r="V39" s="5">
        <f>V33*$B$39</f>
        <v>35099.834352447222</v>
      </c>
      <c r="W39" s="5">
        <f>W33*$B$39</f>
        <v>37149.837913937765</v>
      </c>
    </row>
    <row r="40" spans="1:23" x14ac:dyDescent="0.2">
      <c r="A40" s="29" t="s">
        <v>87</v>
      </c>
      <c r="B40" s="30">
        <v>2.2000000000000001E-3</v>
      </c>
      <c r="C40" s="31" t="s">
        <v>97</v>
      </c>
      <c r="D40" s="24"/>
      <c r="J40" s="20" t="s">
        <v>15</v>
      </c>
      <c r="K40">
        <f>'Historical_Data &amp; Analysis'!N38</f>
        <v>9900</v>
      </c>
      <c r="L40" s="5">
        <f>L33*$B$40</f>
        <v>12093.015440000001</v>
      </c>
      <c r="M40" s="5">
        <f>M33*$B$40</f>
        <v>13430.853371627998</v>
      </c>
      <c r="N40" s="5">
        <f>N33*$B$40</f>
        <v>14793.358255838846</v>
      </c>
      <c r="O40" s="5">
        <f>O33*$B$40</f>
        <v>16183.265139206473</v>
      </c>
      <c r="P40" s="5">
        <f>P33*$B$40</f>
        <v>17603.359382870596</v>
      </c>
      <c r="Q40" s="5">
        <f>Q33*$B$40</f>
        <v>19056.48225401176</v>
      </c>
      <c r="R40" s="5">
        <f>R33*$B$40</f>
        <v>20039.513784810362</v>
      </c>
      <c r="S40" s="5">
        <f>S33*$B$40</f>
        <v>21422.723763954808</v>
      </c>
      <c r="T40" s="5">
        <f>T33*$B$40</f>
        <v>22832.180670877424</v>
      </c>
      <c r="U40" s="5">
        <f>U33*$B$40</f>
        <v>24270.388456258723</v>
      </c>
      <c r="V40" s="5">
        <f>V33*$B$40</f>
        <v>25739.878525127966</v>
      </c>
      <c r="W40" s="5">
        <f>W33*$B$40</f>
        <v>27243.214470221032</v>
      </c>
    </row>
    <row r="41" spans="1:23" ht="19" x14ac:dyDescent="0.25">
      <c r="A41" s="29" t="s">
        <v>90</v>
      </c>
      <c r="B41" s="30">
        <v>0.04</v>
      </c>
      <c r="C41" s="31" t="s">
        <v>103</v>
      </c>
      <c r="D41" s="24"/>
      <c r="J41" s="6" t="s">
        <v>77</v>
      </c>
      <c r="K41">
        <f>SUM(K42:K44)</f>
        <v>55800</v>
      </c>
      <c r="L41" s="5">
        <f>SUM(L42:L44)</f>
        <v>70359.362560000009</v>
      </c>
      <c r="M41" s="5">
        <f t="shared" ref="M41:W41" si="3">SUM(M42:M44)</f>
        <v>78143.146889471987</v>
      </c>
      <c r="N41" s="5">
        <f t="shared" si="3"/>
        <v>86070.448033971479</v>
      </c>
      <c r="O41" s="5">
        <f t="shared" si="3"/>
        <v>94157.178991746739</v>
      </c>
      <c r="P41" s="5">
        <f t="shared" si="3"/>
        <v>102419.545500338</v>
      </c>
      <c r="Q41" s="5">
        <f t="shared" si="3"/>
        <v>110874.07856879568</v>
      </c>
      <c r="R41" s="5">
        <f t="shared" si="3"/>
        <v>116593.53474798756</v>
      </c>
      <c r="S41" s="5">
        <f t="shared" si="3"/>
        <v>124641.30189937341</v>
      </c>
      <c r="T41" s="5">
        <f t="shared" si="3"/>
        <v>132841.77844874136</v>
      </c>
      <c r="U41" s="5">
        <f t="shared" si="3"/>
        <v>141209.53283641441</v>
      </c>
      <c r="V41" s="5">
        <f t="shared" si="3"/>
        <v>149759.29323710816</v>
      </c>
      <c r="W41" s="5">
        <f t="shared" si="3"/>
        <v>158505.97509946782</v>
      </c>
    </row>
    <row r="42" spans="1:23" x14ac:dyDescent="0.2">
      <c r="A42" s="29" t="s">
        <v>95</v>
      </c>
      <c r="B42" s="34">
        <v>0.8</v>
      </c>
      <c r="C42" s="31" t="s">
        <v>94</v>
      </c>
      <c r="D42" s="24"/>
      <c r="G42" s="27"/>
      <c r="J42" s="20" t="s">
        <v>78</v>
      </c>
      <c r="K42">
        <f>'Historical_Data &amp; Analysis'!O38</f>
        <v>24500</v>
      </c>
      <c r="L42" s="5">
        <f>((L33*$B$31))*$B$32</f>
        <v>27484.126</v>
      </c>
      <c r="M42" s="5">
        <f>((M33*$B$31))*$B$32</f>
        <v>30524.666753699996</v>
      </c>
      <c r="N42" s="5">
        <f>((N33*$B$31))*$B$32</f>
        <v>33621.268763270105</v>
      </c>
      <c r="O42" s="5">
        <f>((O33*$B$31))*$B$32</f>
        <v>36780.148043651076</v>
      </c>
      <c r="P42" s="5">
        <f>((P33*$B$31))*$B$32</f>
        <v>40007.634961069532</v>
      </c>
      <c r="Q42" s="5">
        <f>((Q33*$B$31))*$B$32</f>
        <v>43310.186940935811</v>
      </c>
      <c r="R42" s="5">
        <f>((R33*$B$31))*$B$32</f>
        <v>45544.349510932647</v>
      </c>
      <c r="S42" s="5">
        <f>((S33*$B$31))*$B$32</f>
        <v>48688.008554442742</v>
      </c>
      <c r="T42" s="5">
        <f>((T33*$B$31))*$B$32</f>
        <v>51891.319706539594</v>
      </c>
      <c r="U42" s="5">
        <f>((U33*$B$31))*$B$32</f>
        <v>55159.973764224371</v>
      </c>
      <c r="V42" s="5">
        <f>((V33*$B$31))*$B$32</f>
        <v>58499.723920745375</v>
      </c>
      <c r="W42" s="5">
        <f>((W33*$B$31))*$B$32</f>
        <v>61916.396523229618</v>
      </c>
    </row>
    <row r="43" spans="1:23" x14ac:dyDescent="0.2">
      <c r="A43" s="29" t="s">
        <v>63</v>
      </c>
      <c r="B43" s="30">
        <v>0.05</v>
      </c>
      <c r="C43" s="31" t="s">
        <v>99</v>
      </c>
      <c r="D43" s="24"/>
      <c r="J43" s="20" t="s">
        <v>79</v>
      </c>
      <c r="K43">
        <f>'Historical_Data &amp; Analysis'!P38</f>
        <v>3800</v>
      </c>
      <c r="L43" s="5">
        <f>L33*$B$33</f>
        <v>4397.4601600000005</v>
      </c>
      <c r="M43" s="5">
        <f>M33*$B$33</f>
        <v>4883.9466805919992</v>
      </c>
      <c r="N43" s="5">
        <f>N33*$B$33</f>
        <v>5379.4030021232165</v>
      </c>
      <c r="O43" s="5">
        <f>O33*$B$33</f>
        <v>5884.8236869841721</v>
      </c>
      <c r="P43" s="5">
        <f>P33*$B$33</f>
        <v>6401.2215937711253</v>
      </c>
      <c r="Q43" s="5">
        <f>Q33*$B$33</f>
        <v>6929.6299105497301</v>
      </c>
      <c r="R43" s="5">
        <f>R33*$B$33</f>
        <v>7287.0959217492227</v>
      </c>
      <c r="S43" s="5">
        <f>S33*$B$33</f>
        <v>7790.0813687108384</v>
      </c>
      <c r="T43" s="5">
        <f>T33*$B$33</f>
        <v>8302.6111530463349</v>
      </c>
      <c r="U43" s="5">
        <f>U33*$B$33</f>
        <v>8825.5958022758987</v>
      </c>
      <c r="V43" s="5">
        <f>V33*$B$33</f>
        <v>9359.9558273192597</v>
      </c>
      <c r="W43" s="5">
        <f>W33*$B$33</f>
        <v>9906.6234437167386</v>
      </c>
    </row>
    <row r="44" spans="1:23" x14ac:dyDescent="0.2">
      <c r="A44" s="29" t="s">
        <v>92</v>
      </c>
      <c r="B44" s="34">
        <v>0.3</v>
      </c>
      <c r="C44" s="31" t="s">
        <v>94</v>
      </c>
      <c r="D44" s="24"/>
      <c r="J44" s="20" t="s">
        <v>80</v>
      </c>
      <c r="K44">
        <f>'Historical_Data &amp; Analysis'!R38</f>
        <v>27500</v>
      </c>
      <c r="L44" s="5">
        <f>L33*$B$36</f>
        <v>38477.776400000002</v>
      </c>
      <c r="M44" s="5">
        <f>M33*$B$36</f>
        <v>42734.53345517999</v>
      </c>
      <c r="N44" s="5">
        <f>N33*$B$36</f>
        <v>47069.776268578149</v>
      </c>
      <c r="O44" s="5">
        <f>O33*$B$36</f>
        <v>51492.2072611115</v>
      </c>
      <c r="P44" s="5">
        <f>P33*$B$36</f>
        <v>56010.68894549735</v>
      </c>
      <c r="Q44" s="5">
        <f>Q33*$B$36</f>
        <v>60634.261717310139</v>
      </c>
      <c r="R44" s="5">
        <f>R33*$B$36</f>
        <v>63762.089315305697</v>
      </c>
      <c r="S44" s="5">
        <f>S33*$B$36</f>
        <v>68163.211976219842</v>
      </c>
      <c r="T44" s="5">
        <f>T33*$B$36</f>
        <v>72647.847589155441</v>
      </c>
      <c r="U44" s="5">
        <f>U33*$B$36</f>
        <v>77223.963269914122</v>
      </c>
      <c r="V44" s="5">
        <f>V33*$B$36</f>
        <v>81899.613489043521</v>
      </c>
      <c r="W44" s="5">
        <f>W33*$B$36</f>
        <v>86682.955132521456</v>
      </c>
    </row>
    <row r="45" spans="1:23" x14ac:dyDescent="0.2">
      <c r="A45" s="29" t="s">
        <v>93</v>
      </c>
      <c r="B45" s="34">
        <f>100%-B44</f>
        <v>0.7</v>
      </c>
      <c r="C45" s="31" t="s">
        <v>94</v>
      </c>
      <c r="D45" s="24"/>
      <c r="M45" s="5"/>
      <c r="N45" s="5"/>
      <c r="O45" s="5"/>
      <c r="P45" s="5"/>
      <c r="Q45" s="5"/>
      <c r="R45" s="5"/>
      <c r="S45" s="5"/>
      <c r="T45" s="5"/>
      <c r="U45" s="5"/>
      <c r="V45" s="5"/>
      <c r="W45" s="5"/>
    </row>
    <row r="46" spans="1:23" x14ac:dyDescent="0.2">
      <c r="A46" s="29" t="s">
        <v>4</v>
      </c>
      <c r="B46" s="7">
        <v>70</v>
      </c>
      <c r="C46" s="31" t="s">
        <v>102</v>
      </c>
      <c r="D46" s="24"/>
      <c r="J46" s="38" t="s">
        <v>66</v>
      </c>
      <c r="L46" s="25">
        <f>(L37-L41)/L37</f>
        <v>0.7168141592920354</v>
      </c>
      <c r="M46" s="25">
        <f>(M37-M41)/M37</f>
        <v>0.7168141592920354</v>
      </c>
      <c r="N46" s="25">
        <f>(N37-N41)/N37</f>
        <v>0.7168141592920354</v>
      </c>
      <c r="O46" s="25">
        <f>(O37-O41)/O37</f>
        <v>0.7168141592920354</v>
      </c>
      <c r="P46" s="25">
        <f>(P37-P41)/P37</f>
        <v>0.7168141592920354</v>
      </c>
      <c r="Q46" s="25">
        <f>(Q37-Q41)/Q37</f>
        <v>0.7168141592920354</v>
      </c>
      <c r="R46" s="25">
        <f>(R37-R41)/R37</f>
        <v>0.7168141592920354</v>
      </c>
      <c r="S46" s="25">
        <f>(S37-S41)/S37</f>
        <v>0.7168141592920354</v>
      </c>
      <c r="T46" s="25">
        <f>(T37-T41)/T37</f>
        <v>0.7168141592920354</v>
      </c>
      <c r="U46" s="25">
        <f>(U37-U41)/U37</f>
        <v>0.7168141592920354</v>
      </c>
      <c r="V46" s="25">
        <f>(V37-V41)/V37</f>
        <v>0.7168141592920354</v>
      </c>
      <c r="W46" s="25">
        <f>(W37-W41)/W37</f>
        <v>0.71681415929203551</v>
      </c>
    </row>
    <row r="47" spans="1:23" x14ac:dyDescent="0.2">
      <c r="A47" s="36"/>
      <c r="B47" s="37"/>
      <c r="C47" s="53"/>
      <c r="D47" s="24"/>
      <c r="M47" s="5"/>
      <c r="N47" s="5"/>
      <c r="O47" s="5"/>
      <c r="P47" s="5"/>
      <c r="Q47" s="5"/>
      <c r="R47" s="5"/>
      <c r="S47" s="5"/>
      <c r="T47" s="5"/>
      <c r="U47" s="5"/>
      <c r="V47" s="5"/>
      <c r="W47" s="5"/>
    </row>
    <row r="48" spans="1:23" ht="19" x14ac:dyDescent="0.25">
      <c r="D48" s="24"/>
      <c r="J48" s="6" t="s">
        <v>81</v>
      </c>
      <c r="K48">
        <f>SUM(K50:K52)</f>
        <v>141500</v>
      </c>
      <c r="L48" s="5">
        <f>SUM(L49:L52)</f>
        <v>416634.22238559998</v>
      </c>
      <c r="M48" s="5">
        <f>SUM(M49:M52)</f>
        <v>445501.04534705676</v>
      </c>
      <c r="N48" s="5">
        <f t="shared" ref="N48:Q48" si="4">SUM(N49:N52)</f>
        <v>475110.45493841061</v>
      </c>
      <c r="O48" s="5">
        <f t="shared" si="4"/>
        <v>505517.13086317328</v>
      </c>
      <c r="P48" s="5">
        <f t="shared" si="4"/>
        <v>536777.09592409874</v>
      </c>
      <c r="Q48" s="5">
        <f t="shared" si="4"/>
        <v>568947.82087325817</v>
      </c>
      <c r="R48" s="5">
        <f t="shared" ref="R48" si="5">SUM(R49:R52)</f>
        <v>594859.56551672285</v>
      </c>
      <c r="S48" s="5">
        <f t="shared" ref="S48" si="6">SUM(S49:S52)</f>
        <v>626962.78888984211</v>
      </c>
      <c r="T48" s="5">
        <f t="shared" ref="T48" si="7">SUM(T49:T52)</f>
        <v>659934.69916026341</v>
      </c>
      <c r="U48" s="5">
        <f t="shared" ref="U48" si="8">SUM(U49:U52)</f>
        <v>693830.81590576039</v>
      </c>
      <c r="V48" s="5">
        <f t="shared" ref="V48" si="9">SUM(V49:V52)</f>
        <v>728707.8408821231</v>
      </c>
      <c r="W48" s="5">
        <f>SUM(W49:W52)</f>
        <v>764623.75724053336</v>
      </c>
    </row>
    <row r="49" spans="1:23" x14ac:dyDescent="0.2">
      <c r="D49" s="24"/>
      <c r="J49" s="20" t="s">
        <v>82</v>
      </c>
      <c r="L49" s="5">
        <f>$B$46*L30</f>
        <v>243880</v>
      </c>
      <c r="M49" s="5">
        <f>$B$46*M30</f>
        <v>253635.20000000001</v>
      </c>
      <c r="N49" s="5">
        <f>$B$46*N30</f>
        <v>263780.60800000001</v>
      </c>
      <c r="O49" s="5">
        <f>$B$46*O30</f>
        <v>274331.83232000005</v>
      </c>
      <c r="P49" s="5">
        <f>$B$46*P30</f>
        <v>285305.10561280005</v>
      </c>
      <c r="Q49" s="5">
        <f>$B$46*Q30</f>
        <v>296717.30983731203</v>
      </c>
      <c r="R49" s="5">
        <f>$B$46*R30</f>
        <v>308586.00223080453</v>
      </c>
      <c r="S49" s="5">
        <f>$B$46*S30</f>
        <v>320929.44232003676</v>
      </c>
      <c r="T49" s="5">
        <f>$B$46*T30</f>
        <v>333766.62001283816</v>
      </c>
      <c r="U49" s="5">
        <f>$B$46*U30</f>
        <v>347117.28481335175</v>
      </c>
      <c r="V49" s="5">
        <f>$B$46*V30</f>
        <v>361001.97620588582</v>
      </c>
      <c r="W49" s="5">
        <f>$B$46*W30</f>
        <v>375442.05525412125</v>
      </c>
    </row>
    <row r="50" spans="1:23" ht="21" x14ac:dyDescent="0.25">
      <c r="A50" s="43" t="s">
        <v>74</v>
      </c>
      <c r="B50" s="45">
        <v>2026</v>
      </c>
      <c r="C50" s="45">
        <v>2027</v>
      </c>
      <c r="D50" s="45">
        <v>2028</v>
      </c>
      <c r="E50" s="45">
        <v>2029</v>
      </c>
      <c r="J50" s="20" t="s">
        <v>20</v>
      </c>
      <c r="K50">
        <f>'Historical_Data &amp; Analysis'!S38</f>
        <v>11500</v>
      </c>
      <c r="L50">
        <f>L33*$B$37</f>
        <v>13742.063</v>
      </c>
      <c r="M50">
        <f>M33*$B$37</f>
        <v>15262.333376849998</v>
      </c>
      <c r="N50">
        <f>N33*$B$37</f>
        <v>16810.634381635053</v>
      </c>
      <c r="O50">
        <f>O33*$B$37</f>
        <v>18390.074021825538</v>
      </c>
      <c r="P50">
        <f>P33*$B$37</f>
        <v>20003.817480534766</v>
      </c>
      <c r="Q50">
        <f>Q33*$B$37</f>
        <v>21655.093470467906</v>
      </c>
      <c r="R50">
        <f>R33*$B$37</f>
        <v>22772.17475546632</v>
      </c>
      <c r="S50">
        <f>S33*$B$37</f>
        <v>24344.004277221371</v>
      </c>
      <c r="T50">
        <f>T33*$B$37</f>
        <v>25945.659853269797</v>
      </c>
      <c r="U50">
        <f>U33*$B$37</f>
        <v>27579.986882112185</v>
      </c>
      <c r="V50">
        <f>V33*$B$37</f>
        <v>29249.861960372687</v>
      </c>
      <c r="W50">
        <f>W33*$B$37</f>
        <v>30958.198261614805</v>
      </c>
    </row>
    <row r="51" spans="1:23" x14ac:dyDescent="0.2">
      <c r="A51" t="s">
        <v>126</v>
      </c>
      <c r="B51" s="5">
        <f>(B29*((1+0.5%)^(12)))</f>
        <v>1921.6368394747408</v>
      </c>
      <c r="C51" s="5">
        <f>B51*((1+0.5%)^(12))</f>
        <v>2040.1591949317517</v>
      </c>
      <c r="D51" s="5">
        <f t="shared" ref="D51:E51" si="10">C51*((1+0.5%)^(12))</f>
        <v>2165.9917499303774</v>
      </c>
      <c r="E51" s="5">
        <f>D51*((1+0.2%)^(12))</f>
        <v>2218.5512031058452</v>
      </c>
      <c r="J51" s="20" t="s">
        <v>18</v>
      </c>
      <c r="K51">
        <f>'Historical_Data &amp; Analysis'!Q38</f>
        <v>110000</v>
      </c>
      <c r="L51" s="5">
        <f>L37*$B$34</f>
        <v>131681.9444912</v>
      </c>
      <c r="M51" s="5">
        <f>M37*$B$34</f>
        <v>146249.78335032743</v>
      </c>
      <c r="N51" s="5">
        <f>N37*$B$34</f>
        <v>161086.22289857973</v>
      </c>
      <c r="O51" s="5">
        <f>O37*$B$34</f>
        <v>176221.04530674103</v>
      </c>
      <c r="P51" s="5">
        <f>P37*$B$34</f>
        <v>191684.58062547637</v>
      </c>
      <c r="Q51" s="5">
        <f>Q37*$B$34</f>
        <v>207507.76767141168</v>
      </c>
      <c r="R51" s="5">
        <f>R37*$B$34</f>
        <v>218212.08737678046</v>
      </c>
      <c r="S51" s="5">
        <f>S37*$B$34</f>
        <v>233273.98658604611</v>
      </c>
      <c r="T51" s="5">
        <f>T37*$B$34</f>
        <v>248621.6909779725</v>
      </c>
      <c r="U51" s="5">
        <f>U37*$B$34</f>
        <v>264282.46629915183</v>
      </c>
      <c r="V51" s="5">
        <f>V37*$B$34</f>
        <v>280283.87724907527</v>
      </c>
      <c r="W51" s="5">
        <f>W37*$B$34</f>
        <v>296653.83902209776</v>
      </c>
    </row>
    <row r="52" spans="1:23" x14ac:dyDescent="0.2">
      <c r="A52" t="s">
        <v>90</v>
      </c>
      <c r="B52" s="24">
        <v>0.02</v>
      </c>
      <c r="C52" s="24">
        <v>1.2E-2</v>
      </c>
      <c r="D52" s="24">
        <v>0.01</v>
      </c>
      <c r="E52" s="24">
        <v>4.0000000000000001E-3</v>
      </c>
      <c r="J52" s="20" t="s">
        <v>21</v>
      </c>
      <c r="K52">
        <f>'Historical_Data &amp; Analysis'!T38</f>
        <v>20000</v>
      </c>
      <c r="L52" s="5">
        <f>L37*$B$35</f>
        <v>27330.2148944</v>
      </c>
      <c r="M52" s="5">
        <f>M37*$B$35</f>
        <v>30353.728619879275</v>
      </c>
      <c r="N52" s="5">
        <f>N37*$B$35</f>
        <v>33432.989658195795</v>
      </c>
      <c r="O52" s="5">
        <f>O37*$B$35</f>
        <v>36574.179214606629</v>
      </c>
      <c r="P52" s="5">
        <f>P37*$B$35</f>
        <v>39783.592205287547</v>
      </c>
      <c r="Q52" s="5">
        <f>Q37*$B$35</f>
        <v>43067.64989406657</v>
      </c>
      <c r="R52" s="5">
        <f>R37*$B$35</f>
        <v>45289.301153671418</v>
      </c>
      <c r="S52" s="5">
        <f>S37*$B$35</f>
        <v>48415.35570653787</v>
      </c>
      <c r="T52" s="5">
        <f>T37*$B$35</f>
        <v>51600.728316182969</v>
      </c>
      <c r="U52" s="5">
        <f>U37*$B$35</f>
        <v>54851.077911144719</v>
      </c>
      <c r="V52" s="5">
        <f>V37*$B$35</f>
        <v>58172.125466789206</v>
      </c>
      <c r="W52" s="5">
        <f>W37*$B$35</f>
        <v>61569.664702699534</v>
      </c>
    </row>
    <row r="53" spans="1:23" ht="19" x14ac:dyDescent="0.25">
      <c r="A53" s="29" t="s">
        <v>124</v>
      </c>
      <c r="B53" s="30">
        <v>0.14000000000000001</v>
      </c>
      <c r="C53" s="24">
        <v>0.15</v>
      </c>
      <c r="D53" s="14">
        <v>0.16500000000000001</v>
      </c>
      <c r="E53" s="24">
        <v>0.17</v>
      </c>
      <c r="J53" s="6" t="s">
        <v>83</v>
      </c>
      <c r="K53">
        <f>K37-K41-K48</f>
        <v>-26900</v>
      </c>
      <c r="L53" s="5">
        <f>L37-L41-L48</f>
        <v>-238537.08590559999</v>
      </c>
      <c r="M53" s="5">
        <f>M37-M41-M48</f>
        <v>-247701.20478308079</v>
      </c>
      <c r="N53" s="5">
        <f>N37-N41-N48</f>
        <v>-257244.63335242035</v>
      </c>
      <c r="O53" s="5">
        <f>O37-O41-O48</f>
        <v>-267181.77154031431</v>
      </c>
      <c r="P53" s="5">
        <f>P37-P41-P48</f>
        <v>-277527.62137636816</v>
      </c>
      <c r="Q53" s="5">
        <f>Q37-Q41-Q48</f>
        <v>-288297.80949599412</v>
      </c>
      <c r="R53" s="5">
        <f>R37-R41-R48</f>
        <v>-299732.18068587937</v>
      </c>
      <c r="S53" s="5">
        <f>S37-S41-S48</f>
        <v>-311464.49345705309</v>
      </c>
      <c r="T53" s="5">
        <f>T37-T41-T48</f>
        <v>-323678.94746188686</v>
      </c>
      <c r="U53" s="5">
        <f>U37-U41-U48</f>
        <v>-336394.18591358647</v>
      </c>
      <c r="V53" s="5">
        <f>V37-V41-V48</f>
        <v>-349629.629875693</v>
      </c>
      <c r="W53" s="5">
        <f>W37-W41-W48</f>
        <v>-363405.50777000538</v>
      </c>
    </row>
    <row r="54" spans="1:23" x14ac:dyDescent="0.2">
      <c r="A54" s="29" t="s">
        <v>100</v>
      </c>
      <c r="B54" s="30">
        <v>1E-3</v>
      </c>
      <c r="C54" s="24">
        <v>1.1000000000000001E-3</v>
      </c>
      <c r="D54" s="25">
        <v>1.4E-3</v>
      </c>
      <c r="E54" s="25">
        <v>1.4E-3</v>
      </c>
    </row>
    <row r="55" spans="1:23" x14ac:dyDescent="0.2">
      <c r="A55" s="29" t="s">
        <v>161</v>
      </c>
      <c r="B55">
        <v>5</v>
      </c>
      <c r="C55">
        <v>6</v>
      </c>
      <c r="D55">
        <v>6</v>
      </c>
      <c r="E55" s="52">
        <v>6.5</v>
      </c>
    </row>
    <row r="56" spans="1:23" s="47" customFormat="1" x14ac:dyDescent="0.2">
      <c r="A56" s="29" t="s">
        <v>79</v>
      </c>
      <c r="B56" s="24">
        <v>6.9999999999999999E-4</v>
      </c>
      <c r="C56" s="24">
        <v>6.9999999999999999E-4</v>
      </c>
      <c r="D56" s="24">
        <v>6.9999999999999999E-4</v>
      </c>
      <c r="E56" s="24">
        <v>5.9999999999999995E-4</v>
      </c>
    </row>
    <row r="57" spans="1:23" x14ac:dyDescent="0.2">
      <c r="A57" s="29" t="s">
        <v>18</v>
      </c>
      <c r="B57" s="3">
        <v>0.5</v>
      </c>
      <c r="C57" s="14">
        <v>0.45</v>
      </c>
      <c r="D57" s="24">
        <v>0.4</v>
      </c>
      <c r="E57" s="24">
        <v>0.35</v>
      </c>
    </row>
    <row r="58" spans="1:23" x14ac:dyDescent="0.2">
      <c r="A58" s="29" t="s">
        <v>21</v>
      </c>
      <c r="B58" s="24">
        <v>0.11</v>
      </c>
      <c r="C58" s="3">
        <v>0.1</v>
      </c>
      <c r="D58" s="24">
        <v>0.08</v>
      </c>
      <c r="E58" s="24">
        <v>7.4999999999999997E-2</v>
      </c>
    </row>
    <row r="59" spans="1:23" x14ac:dyDescent="0.2">
      <c r="A59" s="29" t="s">
        <v>80</v>
      </c>
      <c r="B59" s="24">
        <v>1.6E-2</v>
      </c>
      <c r="C59" s="24">
        <v>1.4E-2</v>
      </c>
      <c r="D59" s="24">
        <v>1.2E-2</v>
      </c>
      <c r="E59" s="24">
        <v>0.01</v>
      </c>
    </row>
    <row r="60" spans="1:23" x14ac:dyDescent="0.2">
      <c r="A60" s="29" t="s">
        <v>20</v>
      </c>
      <c r="B60" s="24">
        <v>2.2000000000000001E-3</v>
      </c>
      <c r="C60" s="24">
        <v>2E-3</v>
      </c>
      <c r="D60" s="24">
        <v>2E-3</v>
      </c>
      <c r="E60" s="24">
        <v>1.6000000000000001E-3</v>
      </c>
    </row>
    <row r="61" spans="1:23" x14ac:dyDescent="0.2">
      <c r="A61" s="29" t="s">
        <v>75</v>
      </c>
      <c r="B61" s="3">
        <v>0.04</v>
      </c>
      <c r="C61" s="3">
        <v>0.04</v>
      </c>
      <c r="D61" s="24">
        <v>0.04</v>
      </c>
      <c r="E61" s="24">
        <v>3.7999999999999999E-2</v>
      </c>
    </row>
    <row r="62" spans="1:23" x14ac:dyDescent="0.2">
      <c r="A62" s="29" t="s">
        <v>76</v>
      </c>
      <c r="B62" s="24">
        <v>3.0000000000000001E-3</v>
      </c>
      <c r="C62" s="24">
        <v>3.0000000000000001E-3</v>
      </c>
      <c r="D62" s="24">
        <v>3.0000000000000001E-3</v>
      </c>
      <c r="E62" s="24">
        <v>3.0000000000000001E-3</v>
      </c>
    </row>
    <row r="63" spans="1:23" x14ac:dyDescent="0.2">
      <c r="A63" s="29" t="s">
        <v>87</v>
      </c>
      <c r="B63" s="24">
        <v>2.0999999999999999E-3</v>
      </c>
      <c r="C63" s="24">
        <v>2.0999999999999999E-3</v>
      </c>
      <c r="D63" s="24">
        <v>2.0999999999999999E-3</v>
      </c>
      <c r="E63" s="24">
        <v>2.0999999999999999E-3</v>
      </c>
    </row>
    <row r="64" spans="1:23" x14ac:dyDescent="0.2">
      <c r="A64" s="29" t="s">
        <v>63</v>
      </c>
      <c r="B64" s="24">
        <v>5.5E-2</v>
      </c>
      <c r="C64" s="14">
        <v>0.04</v>
      </c>
      <c r="D64" s="14">
        <v>3.5999999999999997E-2</v>
      </c>
      <c r="E64" s="14">
        <v>3.2000000000000001E-2</v>
      </c>
    </row>
    <row r="65" spans="1:5" x14ac:dyDescent="0.2">
      <c r="A65" s="29" t="s">
        <v>92</v>
      </c>
      <c r="B65" s="3">
        <v>0.4</v>
      </c>
      <c r="C65" s="3">
        <v>0.43</v>
      </c>
      <c r="D65" s="3">
        <v>0.45</v>
      </c>
      <c r="E65" s="3">
        <v>0.47</v>
      </c>
    </row>
    <row r="66" spans="1:5" x14ac:dyDescent="0.2">
      <c r="A66" s="29" t="s">
        <v>93</v>
      </c>
      <c r="B66" s="3">
        <v>0.6</v>
      </c>
      <c r="C66" s="24">
        <f>100%-C65</f>
        <v>0.57000000000000006</v>
      </c>
      <c r="D66" s="24">
        <f>100%-D65</f>
        <v>0.55000000000000004</v>
      </c>
      <c r="E66" s="24">
        <f>100%-E65</f>
        <v>0.53</v>
      </c>
    </row>
    <row r="67" spans="1:5" x14ac:dyDescent="0.2">
      <c r="A67" s="29" t="s">
        <v>4</v>
      </c>
      <c r="B67" s="4">
        <v>65</v>
      </c>
      <c r="C67" s="4">
        <v>60</v>
      </c>
      <c r="D67" s="4">
        <v>58</v>
      </c>
      <c r="E67" s="4">
        <v>55</v>
      </c>
    </row>
    <row r="76" spans="1:5" x14ac:dyDescent="0.2">
      <c r="E76" s="5"/>
    </row>
    <row r="89" spans="3:5" x14ac:dyDescent="0.2">
      <c r="C89" s="13"/>
      <c r="D89" s="13"/>
      <c r="E89" s="13"/>
    </row>
    <row r="90" spans="3:5" x14ac:dyDescent="0.2">
      <c r="C90" s="24"/>
      <c r="D90" s="24"/>
      <c r="E90" s="13"/>
    </row>
    <row r="91" spans="3:5" x14ac:dyDescent="0.2">
      <c r="C91" s="24"/>
      <c r="D91" s="24"/>
      <c r="E91" s="24"/>
    </row>
    <row r="92" spans="3:5" x14ac:dyDescent="0.2">
      <c r="C92" s="24"/>
      <c r="D92" s="24"/>
      <c r="E92" s="24"/>
    </row>
    <row r="93" spans="3:5" x14ac:dyDescent="0.2">
      <c r="C93" s="24"/>
      <c r="D93" s="24"/>
      <c r="E93" s="24"/>
    </row>
    <row r="94" spans="3:5" x14ac:dyDescent="0.2">
      <c r="C94" s="24"/>
      <c r="D94" s="24"/>
      <c r="E94" s="24"/>
    </row>
    <row r="95" spans="3:5" x14ac:dyDescent="0.2">
      <c r="C95" s="24"/>
      <c r="D95" s="24"/>
      <c r="E95" s="24"/>
    </row>
    <row r="96" spans="3:5" x14ac:dyDescent="0.2">
      <c r="C96" s="24"/>
      <c r="D96" s="24"/>
      <c r="E96" s="24"/>
    </row>
    <row r="97" spans="3:5" x14ac:dyDescent="0.2">
      <c r="C97" s="24"/>
      <c r="D97" s="24"/>
      <c r="E97" s="24"/>
    </row>
    <row r="98" spans="3:5" x14ac:dyDescent="0.2">
      <c r="C98" s="24"/>
      <c r="D98" s="24"/>
      <c r="E98" s="24"/>
    </row>
    <row r="99" spans="3:5" x14ac:dyDescent="0.2">
      <c r="C99" s="24"/>
      <c r="D99" s="24"/>
      <c r="E99" s="24"/>
    </row>
    <row r="100" spans="3:5" x14ac:dyDescent="0.2">
      <c r="C100" s="24"/>
      <c r="D100" s="24"/>
      <c r="E100" s="24"/>
    </row>
    <row r="101" spans="3:5" x14ac:dyDescent="0.2">
      <c r="C101" s="24"/>
      <c r="D101" s="24"/>
      <c r="E101" s="14"/>
    </row>
    <row r="102" spans="3:5" x14ac:dyDescent="0.2">
      <c r="C102" s="14"/>
      <c r="D102" s="24"/>
      <c r="E102" s="24"/>
    </row>
    <row r="103" spans="3:5" x14ac:dyDescent="0.2">
      <c r="C103" s="24"/>
      <c r="D103" s="24"/>
      <c r="E103" s="24"/>
    </row>
    <row r="104" spans="3:5" x14ac:dyDescent="0.2">
      <c r="C104" s="24"/>
      <c r="D104" s="24"/>
      <c r="E104" s="14"/>
    </row>
    <row r="105" spans="3:5" x14ac:dyDescent="0.2">
      <c r="C105" s="24"/>
      <c r="D105" s="24"/>
      <c r="E105"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E65C-CD06-0D45-88E2-2091D954F63D}">
  <sheetPr>
    <tabColor rgb="FF00B0F0"/>
  </sheetPr>
  <dimension ref="A1:A17"/>
  <sheetViews>
    <sheetView showGridLines="0" workbookViewId="0">
      <selection activeCell="G21" sqref="G21"/>
    </sheetView>
  </sheetViews>
  <sheetFormatPr baseColWidth="10" defaultRowHeight="16" x14ac:dyDescent="0.2"/>
  <sheetData>
    <row r="1" spans="1:1" ht="19" x14ac:dyDescent="0.25">
      <c r="A1" s="6" t="s">
        <v>129</v>
      </c>
    </row>
    <row r="2" spans="1:1" x14ac:dyDescent="0.2">
      <c r="A2" t="s">
        <v>130</v>
      </c>
    </row>
    <row r="3" spans="1:1" x14ac:dyDescent="0.2">
      <c r="A3" t="s">
        <v>131</v>
      </c>
    </row>
    <row r="4" spans="1:1" x14ac:dyDescent="0.2">
      <c r="A4" t="s">
        <v>132</v>
      </c>
    </row>
    <row r="5" spans="1:1" x14ac:dyDescent="0.2">
      <c r="A5" t="s">
        <v>133</v>
      </c>
    </row>
    <row r="7" spans="1:1" ht="19" x14ac:dyDescent="0.25">
      <c r="A7" s="6" t="s">
        <v>134</v>
      </c>
    </row>
    <row r="8" spans="1:1" x14ac:dyDescent="0.2">
      <c r="A8" t="s">
        <v>135</v>
      </c>
    </row>
    <row r="9" spans="1:1" x14ac:dyDescent="0.2">
      <c r="A9" t="s">
        <v>136</v>
      </c>
    </row>
    <row r="10" spans="1:1" x14ac:dyDescent="0.2">
      <c r="A10" t="s">
        <v>137</v>
      </c>
    </row>
    <row r="11" spans="1:1" x14ac:dyDescent="0.2">
      <c r="A11" t="s">
        <v>138</v>
      </c>
    </row>
    <row r="13" spans="1:1" ht="19" x14ac:dyDescent="0.25">
      <c r="A13" s="6" t="s">
        <v>139</v>
      </c>
    </row>
    <row r="14" spans="1:1" x14ac:dyDescent="0.2">
      <c r="A14" t="s">
        <v>140</v>
      </c>
    </row>
    <row r="15" spans="1:1" x14ac:dyDescent="0.2">
      <c r="A15" t="s">
        <v>141</v>
      </c>
    </row>
    <row r="16" spans="1:1" x14ac:dyDescent="0.2">
      <c r="A16" t="s">
        <v>142</v>
      </c>
    </row>
    <row r="17" spans="1:1" x14ac:dyDescent="0.2">
      <c r="A17" t="s">
        <v>143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87B6C-FD84-5B46-A067-FA0192DA8879}">
  <sheetPr>
    <tabColor rgb="FF0070C0"/>
  </sheetPr>
  <dimension ref="A3:I102"/>
  <sheetViews>
    <sheetView showGridLines="0" topLeftCell="A36" workbookViewId="0">
      <selection activeCell="G85" sqref="G85"/>
    </sheetView>
  </sheetViews>
  <sheetFormatPr baseColWidth="10" defaultRowHeight="16" x14ac:dyDescent="0.2"/>
  <cols>
    <col min="1" max="1" width="71.5" style="22" customWidth="1"/>
    <col min="2" max="2" width="14.33203125" style="22" customWidth="1"/>
    <col min="3" max="9" width="10.83203125" style="22"/>
    <col min="10" max="10" width="13" style="22" customWidth="1"/>
    <col min="11" max="16384" width="10.83203125" style="22"/>
  </cols>
  <sheetData>
    <row r="3" spans="1:9" ht="21" x14ac:dyDescent="0.25">
      <c r="A3" s="65" t="s">
        <v>177</v>
      </c>
      <c r="B3" s="65"/>
      <c r="C3" s="65"/>
      <c r="D3" s="65"/>
      <c r="E3" s="65"/>
      <c r="F3" s="65"/>
      <c r="G3" s="65"/>
      <c r="H3" s="65"/>
      <c r="I3" s="65"/>
    </row>
    <row r="5" spans="1:9" ht="19" x14ac:dyDescent="0.25">
      <c r="A5" s="12" t="s">
        <v>176</v>
      </c>
      <c r="B5" s="12"/>
      <c r="C5" s="12"/>
      <c r="D5" s="12"/>
      <c r="E5" s="12"/>
      <c r="F5" s="12"/>
      <c r="G5" s="12"/>
    </row>
    <row r="6" spans="1:9" x14ac:dyDescent="0.2">
      <c r="A6" s="22" t="s">
        <v>163</v>
      </c>
      <c r="B6" s="22" t="s">
        <v>166</v>
      </c>
    </row>
    <row r="7" spans="1:9" x14ac:dyDescent="0.2">
      <c r="A7" s="22" t="s">
        <v>164</v>
      </c>
      <c r="B7" s="22" t="s">
        <v>167</v>
      </c>
    </row>
    <row r="8" spans="1:9" x14ac:dyDescent="0.2">
      <c r="A8" s="22" t="s">
        <v>165</v>
      </c>
      <c r="B8" s="22" t="s">
        <v>168</v>
      </c>
    </row>
    <row r="10" spans="1:9" x14ac:dyDescent="0.2">
      <c r="A10" s="22" t="s">
        <v>178</v>
      </c>
    </row>
    <row r="12" spans="1:9" ht="19" x14ac:dyDescent="0.25">
      <c r="A12" s="12" t="s">
        <v>175</v>
      </c>
      <c r="B12" s="12"/>
      <c r="C12" s="12"/>
      <c r="D12" s="12"/>
      <c r="E12" s="12"/>
      <c r="F12" s="12"/>
      <c r="G12" s="12"/>
      <c r="H12" s="12"/>
      <c r="I12" s="12"/>
    </row>
    <row r="13" spans="1:9" ht="17" thickBot="1" x14ac:dyDescent="0.25">
      <c r="B13" s="21">
        <v>2025</v>
      </c>
      <c r="C13" s="21">
        <v>2026</v>
      </c>
      <c r="D13" s="21">
        <v>2027</v>
      </c>
      <c r="E13" s="21">
        <v>2028</v>
      </c>
      <c r="F13" s="21">
        <v>2029</v>
      </c>
      <c r="G13" s="21">
        <v>2030</v>
      </c>
      <c r="H13" s="21">
        <v>2031</v>
      </c>
      <c r="I13" s="21">
        <v>2032</v>
      </c>
    </row>
    <row r="15" spans="1:9" x14ac:dyDescent="0.2">
      <c r="A15" s="2" t="s">
        <v>12</v>
      </c>
      <c r="B15" s="71">
        <f>'P&amp;L Forecast'!C3</f>
        <v>4822187.343122378</v>
      </c>
      <c r="C15" s="71">
        <f>'P&amp;L Forecast'!D3</f>
        <v>8119527.8544650581</v>
      </c>
      <c r="D15" s="71">
        <f>'P&amp;L Forecast'!E3</f>
        <v>18666347.768344529</v>
      </c>
      <c r="E15" s="71">
        <f>'P&amp;L Forecast'!F3</f>
        <v>31819426.602554459</v>
      </c>
      <c r="F15" s="71">
        <f>'P&amp;L Forecast'!G3</f>
        <v>41905423.343571216</v>
      </c>
      <c r="G15" s="22">
        <f>F15*(1+3%)</f>
        <v>43162586.043878354</v>
      </c>
      <c r="H15" s="22">
        <f>G15*(1+3%)</f>
        <v>44457463.625194706</v>
      </c>
      <c r="I15" s="22">
        <f t="shared" ref="H15:I15" si="0">H15*(1+3%)</f>
        <v>45791187.533950545</v>
      </c>
    </row>
    <row r="16" spans="1:9" x14ac:dyDescent="0.2">
      <c r="A16" s="54" t="s">
        <v>169</v>
      </c>
      <c r="I16" s="54">
        <v>10</v>
      </c>
    </row>
    <row r="17" spans="1:9" x14ac:dyDescent="0.2">
      <c r="A17" s="54" t="s">
        <v>194</v>
      </c>
      <c r="I17" s="54">
        <v>7</v>
      </c>
    </row>
    <row r="18" spans="1:9" x14ac:dyDescent="0.2">
      <c r="A18" s="8" t="s">
        <v>170</v>
      </c>
      <c r="I18" s="8">
        <f>I15*I16</f>
        <v>457911875.33950543</v>
      </c>
    </row>
    <row r="19" spans="1:9" x14ac:dyDescent="0.2">
      <c r="A19" s="54" t="s">
        <v>171</v>
      </c>
      <c r="I19" s="17">
        <v>0.5</v>
      </c>
    </row>
    <row r="20" spans="1:9" x14ac:dyDescent="0.2">
      <c r="A20" s="8" t="s">
        <v>172</v>
      </c>
      <c r="I20" s="8">
        <f>(I16*I15)/((1+I19)^I17)</f>
        <v>26800512.136925787</v>
      </c>
    </row>
    <row r="21" spans="1:9" x14ac:dyDescent="0.2">
      <c r="A21" s="54" t="s">
        <v>173</v>
      </c>
      <c r="I21" s="17">
        <f>2500000/I20</f>
        <v>9.3281799512909158E-2</v>
      </c>
    </row>
    <row r="23" spans="1:9" ht="19" x14ac:dyDescent="0.25">
      <c r="A23" s="12" t="s">
        <v>174</v>
      </c>
      <c r="B23" s="12"/>
      <c r="C23" s="12"/>
      <c r="D23" s="12"/>
      <c r="E23" s="12"/>
      <c r="F23" s="12"/>
      <c r="G23" s="23"/>
    </row>
    <row r="25" spans="1:9" x14ac:dyDescent="0.2">
      <c r="B25" s="67"/>
      <c r="C25" s="66" t="s">
        <v>179</v>
      </c>
      <c r="D25" s="72"/>
      <c r="E25" s="72"/>
      <c r="F25" s="72"/>
      <c r="G25" s="72"/>
    </row>
    <row r="26" spans="1:9" x14ac:dyDescent="0.2">
      <c r="B26" s="73">
        <f>I20</f>
        <v>26800512.136925787</v>
      </c>
      <c r="C26" s="2">
        <v>5</v>
      </c>
      <c r="D26" s="2">
        <f>I16</f>
        <v>10</v>
      </c>
      <c r="E26" s="2">
        <v>12</v>
      </c>
      <c r="F26" s="2">
        <v>14</v>
      </c>
      <c r="G26" s="2">
        <v>16</v>
      </c>
    </row>
    <row r="27" spans="1:9" x14ac:dyDescent="0.2">
      <c r="A27" s="68" t="s">
        <v>180</v>
      </c>
      <c r="B27" s="64">
        <v>0.3</v>
      </c>
      <c r="C27" s="71">
        <f t="dataTable" ref="C27:G32" dt2D="1" dtr="1" r1="I16" r2="I19"/>
        <v>36487864.353790641</v>
      </c>
      <c r="D27" s="71">
        <v>36487864.353790641</v>
      </c>
      <c r="E27" s="71">
        <v>87570874.449097544</v>
      </c>
      <c r="F27" s="71">
        <v>102166020.19061379</v>
      </c>
      <c r="G27" s="71">
        <v>116761165.93213005</v>
      </c>
    </row>
    <row r="28" spans="1:9" x14ac:dyDescent="0.2">
      <c r="A28" s="68"/>
      <c r="B28" s="64">
        <v>0.4</v>
      </c>
      <c r="C28" s="71">
        <v>21719791.960406974</v>
      </c>
      <c r="D28" s="71">
        <v>21719791.960406974</v>
      </c>
      <c r="E28" s="71">
        <v>52127500.704976745</v>
      </c>
      <c r="F28" s="71">
        <v>60815417.489139527</v>
      </c>
      <c r="G28" s="71">
        <v>69503334.273302332</v>
      </c>
    </row>
    <row r="29" spans="1:9" x14ac:dyDescent="0.2">
      <c r="A29" s="68"/>
      <c r="B29" s="64">
        <v>0.5</v>
      </c>
      <c r="C29" s="71">
        <v>13400256.068462893</v>
      </c>
      <c r="D29" s="71">
        <v>13400256.068462893</v>
      </c>
      <c r="E29" s="71">
        <v>32160614.564310946</v>
      </c>
      <c r="F29" s="71">
        <v>37520716.991696097</v>
      </c>
      <c r="G29" s="71">
        <v>42880819.419081263</v>
      </c>
    </row>
    <row r="30" spans="1:9" x14ac:dyDescent="0.2">
      <c r="A30" s="68"/>
      <c r="B30" s="64">
        <v>0.7</v>
      </c>
      <c r="C30" s="71">
        <v>5579682.1682891389</v>
      </c>
      <c r="D30" s="71">
        <v>5579682.1682891389</v>
      </c>
      <c r="E30" s="71">
        <v>13391237.203893935</v>
      </c>
      <c r="F30" s="71">
        <v>15623110.071209589</v>
      </c>
      <c r="G30" s="71">
        <v>17854982.938525248</v>
      </c>
    </row>
    <row r="31" spans="1:9" x14ac:dyDescent="0.2">
      <c r="A31" s="68"/>
      <c r="B31" s="64">
        <v>0.8</v>
      </c>
      <c r="C31" s="71">
        <v>3739765.5369393835</v>
      </c>
      <c r="D31" s="71">
        <v>3739765.5369393835</v>
      </c>
      <c r="E31" s="71">
        <v>8975437.2886545211</v>
      </c>
      <c r="F31" s="71">
        <v>10471343.503430273</v>
      </c>
      <c r="G31" s="71">
        <v>11967249.718206028</v>
      </c>
    </row>
    <row r="32" spans="1:9" x14ac:dyDescent="0.2">
      <c r="A32" s="68"/>
      <c r="B32" s="64">
        <v>0.9</v>
      </c>
      <c r="C32" s="71">
        <v>2561395.8656517356</v>
      </c>
      <c r="D32" s="71">
        <v>2561395.8656517356</v>
      </c>
      <c r="E32" s="71">
        <v>6147350.0775641659</v>
      </c>
      <c r="F32" s="71">
        <v>7171908.4238248598</v>
      </c>
      <c r="G32" s="71">
        <v>8196466.7700855546</v>
      </c>
    </row>
    <row r="36" spans="1:9" ht="21" x14ac:dyDescent="0.25">
      <c r="A36" s="65" t="s">
        <v>181</v>
      </c>
      <c r="B36" s="65"/>
      <c r="C36" s="65"/>
      <c r="D36" s="65"/>
      <c r="E36" s="65"/>
      <c r="F36" s="65"/>
      <c r="G36" s="65"/>
      <c r="H36" s="65"/>
      <c r="I36" s="65"/>
    </row>
    <row r="38" spans="1:9" ht="19" x14ac:dyDescent="0.25">
      <c r="A38" s="12" t="s">
        <v>183</v>
      </c>
      <c r="B38" s="23"/>
      <c r="C38" s="23"/>
      <c r="D38" s="23"/>
      <c r="E38" s="23"/>
      <c r="F38" s="23"/>
      <c r="G38" s="23"/>
      <c r="H38" s="23"/>
      <c r="I38" s="23"/>
    </row>
    <row r="39" spans="1:9" x14ac:dyDescent="0.2">
      <c r="A39" s="2" t="s">
        <v>184</v>
      </c>
      <c r="B39" s="22" t="s">
        <v>189</v>
      </c>
    </row>
    <row r="40" spans="1:9" x14ac:dyDescent="0.2">
      <c r="B40" s="22" t="s">
        <v>185</v>
      </c>
    </row>
    <row r="42" spans="1:9" x14ac:dyDescent="0.2">
      <c r="A42" s="2" t="s">
        <v>186</v>
      </c>
      <c r="B42" s="22" t="s">
        <v>190</v>
      </c>
    </row>
    <row r="44" spans="1:9" x14ac:dyDescent="0.2">
      <c r="A44" s="2" t="s">
        <v>187</v>
      </c>
      <c r="B44" s="22" t="s">
        <v>191</v>
      </c>
    </row>
    <row r="46" spans="1:9" x14ac:dyDescent="0.2">
      <c r="A46" s="2" t="s">
        <v>188</v>
      </c>
      <c r="B46" s="22" t="s">
        <v>192</v>
      </c>
    </row>
    <row r="48" spans="1:9" ht="19" x14ac:dyDescent="0.25">
      <c r="A48" s="12" t="s">
        <v>193</v>
      </c>
      <c r="B48" s="12"/>
      <c r="C48" s="12"/>
      <c r="D48" s="12"/>
    </row>
    <row r="49" spans="1:9" ht="17" x14ac:dyDescent="0.2">
      <c r="A49" s="74" t="s">
        <v>182</v>
      </c>
      <c r="B49" s="22">
        <v>12000000</v>
      </c>
    </row>
    <row r="51" spans="1:9" x14ac:dyDescent="0.2">
      <c r="A51" s="75" t="s">
        <v>195</v>
      </c>
      <c r="B51" s="69" t="s">
        <v>196</v>
      </c>
      <c r="C51" s="69" t="s">
        <v>197</v>
      </c>
      <c r="D51" s="69" t="s">
        <v>198</v>
      </c>
    </row>
    <row r="52" spans="1:9" x14ac:dyDescent="0.2">
      <c r="A52" s="22" t="s">
        <v>199</v>
      </c>
      <c r="B52" s="76">
        <v>0.3</v>
      </c>
      <c r="C52" s="76">
        <v>1.3</v>
      </c>
      <c r="D52" s="77">
        <f>C52*B52</f>
        <v>0.39</v>
      </c>
    </row>
    <row r="53" spans="1:9" x14ac:dyDescent="0.2">
      <c r="A53" s="22" t="s">
        <v>200</v>
      </c>
      <c r="B53" s="76">
        <v>0.2</v>
      </c>
      <c r="C53" s="76">
        <v>1.4</v>
      </c>
      <c r="D53" s="77">
        <f t="shared" ref="D53:D57" si="1">C53*B53</f>
        <v>0.27999999999999997</v>
      </c>
    </row>
    <row r="54" spans="1:9" x14ac:dyDescent="0.2">
      <c r="A54" s="22" t="s">
        <v>201</v>
      </c>
      <c r="B54" s="76">
        <v>0.15</v>
      </c>
      <c r="C54" s="76">
        <v>0.9</v>
      </c>
      <c r="D54" s="77">
        <f t="shared" si="1"/>
        <v>0.13500000000000001</v>
      </c>
    </row>
    <row r="55" spans="1:9" x14ac:dyDescent="0.2">
      <c r="A55" s="22" t="s">
        <v>202</v>
      </c>
      <c r="B55" s="76">
        <v>0.1</v>
      </c>
      <c r="C55" s="76">
        <v>1</v>
      </c>
      <c r="D55" s="77">
        <f t="shared" si="1"/>
        <v>0.1</v>
      </c>
      <c r="G55" s="78"/>
      <c r="H55" s="78"/>
    </row>
    <row r="56" spans="1:9" x14ac:dyDescent="0.2">
      <c r="A56" s="22" t="s">
        <v>203</v>
      </c>
      <c r="B56" s="76">
        <v>0.1</v>
      </c>
      <c r="C56" s="76">
        <v>0.8</v>
      </c>
      <c r="D56" s="77">
        <f t="shared" si="1"/>
        <v>8.0000000000000016E-2</v>
      </c>
      <c r="G56" s="84" t="s">
        <v>206</v>
      </c>
      <c r="H56" s="78"/>
      <c r="I56" s="2">
        <f>B49*D59</f>
        <v>13439999.999999998</v>
      </c>
    </row>
    <row r="57" spans="1:9" x14ac:dyDescent="0.2">
      <c r="A57" s="22" t="s">
        <v>204</v>
      </c>
      <c r="B57" s="76">
        <v>0.15</v>
      </c>
      <c r="C57" s="76">
        <v>0.9</v>
      </c>
      <c r="D57" s="77">
        <f t="shared" si="1"/>
        <v>0.13500000000000001</v>
      </c>
    </row>
    <row r="59" spans="1:9" x14ac:dyDescent="0.2">
      <c r="A59" s="22" t="s">
        <v>205</v>
      </c>
      <c r="D59" s="77">
        <f>SUM(D52:D57)</f>
        <v>1.1199999999999999</v>
      </c>
    </row>
    <row r="62" spans="1:9" ht="19" x14ac:dyDescent="0.25">
      <c r="A62" s="12" t="s">
        <v>207</v>
      </c>
      <c r="B62" s="12"/>
      <c r="C62" s="12"/>
      <c r="D62" s="12"/>
    </row>
    <row r="63" spans="1:9" ht="17" x14ac:dyDescent="0.2">
      <c r="A63" s="74" t="s">
        <v>182</v>
      </c>
      <c r="B63" s="22">
        <v>12000000</v>
      </c>
    </row>
    <row r="65" spans="1:9" x14ac:dyDescent="0.2">
      <c r="A65" s="75" t="s">
        <v>195</v>
      </c>
      <c r="B65" s="69" t="s">
        <v>196</v>
      </c>
      <c r="C65" s="69" t="s">
        <v>197</v>
      </c>
      <c r="D65" s="69" t="s">
        <v>198</v>
      </c>
    </row>
    <row r="66" spans="1:9" x14ac:dyDescent="0.2">
      <c r="A66" s="22" t="s">
        <v>199</v>
      </c>
      <c r="B66" s="76">
        <v>0.3</v>
      </c>
      <c r="C66" s="76">
        <v>1.1000000000000001</v>
      </c>
      <c r="D66" s="77">
        <f>C66*B66</f>
        <v>0.33</v>
      </c>
    </row>
    <row r="67" spans="1:9" x14ac:dyDescent="0.2">
      <c r="A67" s="22" t="s">
        <v>200</v>
      </c>
      <c r="B67" s="76">
        <v>0.2</v>
      </c>
      <c r="C67" s="76">
        <v>1</v>
      </c>
      <c r="D67" s="77">
        <f t="shared" ref="D67:D71" si="2">C67*B67</f>
        <v>0.2</v>
      </c>
    </row>
    <row r="68" spans="1:9" x14ac:dyDescent="0.2">
      <c r="A68" s="22" t="s">
        <v>201</v>
      </c>
      <c r="B68" s="76">
        <v>0.15</v>
      </c>
      <c r="C68" s="76">
        <v>1</v>
      </c>
      <c r="D68" s="77">
        <f t="shared" si="2"/>
        <v>0.15</v>
      </c>
    </row>
    <row r="69" spans="1:9" x14ac:dyDescent="0.2">
      <c r="A69" s="22" t="s">
        <v>202</v>
      </c>
      <c r="B69" s="76">
        <v>0.1</v>
      </c>
      <c r="C69" s="76">
        <v>0.8</v>
      </c>
      <c r="D69" s="77">
        <f t="shared" si="2"/>
        <v>8.0000000000000016E-2</v>
      </c>
      <c r="G69" s="78"/>
      <c r="H69" s="78"/>
    </row>
    <row r="70" spans="1:9" x14ac:dyDescent="0.2">
      <c r="A70" s="22" t="s">
        <v>203</v>
      </c>
      <c r="B70" s="76">
        <v>0.1</v>
      </c>
      <c r="C70" s="76">
        <v>0.7</v>
      </c>
      <c r="D70" s="77">
        <f t="shared" si="2"/>
        <v>6.9999999999999993E-2</v>
      </c>
      <c r="G70" s="84" t="s">
        <v>206</v>
      </c>
      <c r="H70" s="78"/>
      <c r="I70" s="2">
        <f>B63*D73</f>
        <v>11400000</v>
      </c>
    </row>
    <row r="71" spans="1:9" x14ac:dyDescent="0.2">
      <c r="A71" s="22" t="s">
        <v>204</v>
      </c>
      <c r="B71" s="76">
        <v>0.15</v>
      </c>
      <c r="C71" s="76">
        <v>0.8</v>
      </c>
      <c r="D71" s="77">
        <f t="shared" si="2"/>
        <v>0.12</v>
      </c>
    </row>
    <row r="72" spans="1:9" x14ac:dyDescent="0.2">
      <c r="B72" s="76"/>
    </row>
    <row r="73" spans="1:9" x14ac:dyDescent="0.2">
      <c r="A73" s="22" t="s">
        <v>205</v>
      </c>
      <c r="D73" s="77">
        <f>SUM(D66:D71)</f>
        <v>0.95</v>
      </c>
    </row>
    <row r="77" spans="1:9" ht="19" x14ac:dyDescent="0.25">
      <c r="A77" s="12" t="s">
        <v>208</v>
      </c>
      <c r="B77" s="12"/>
      <c r="C77" s="12"/>
      <c r="D77" s="12"/>
    </row>
    <row r="78" spans="1:9" ht="17" x14ac:dyDescent="0.2">
      <c r="A78" s="74" t="s">
        <v>182</v>
      </c>
      <c r="B78" s="22">
        <v>12000000</v>
      </c>
    </row>
    <row r="80" spans="1:9" x14ac:dyDescent="0.2">
      <c r="A80" s="75" t="s">
        <v>195</v>
      </c>
      <c r="B80" s="69" t="s">
        <v>196</v>
      </c>
      <c r="C80" s="69" t="s">
        <v>197</v>
      </c>
      <c r="D80" s="69" t="s">
        <v>198</v>
      </c>
    </row>
    <row r="81" spans="1:9" x14ac:dyDescent="0.2">
      <c r="A81" s="22" t="s">
        <v>199</v>
      </c>
      <c r="B81" s="76">
        <v>0.3</v>
      </c>
      <c r="C81" s="76">
        <v>1.2</v>
      </c>
      <c r="D81" s="77">
        <f>C81*30%</f>
        <v>0.36</v>
      </c>
    </row>
    <row r="82" spans="1:9" x14ac:dyDescent="0.2">
      <c r="A82" s="22" t="s">
        <v>200</v>
      </c>
      <c r="B82" s="76">
        <v>0.2</v>
      </c>
      <c r="C82" s="76">
        <v>1.3</v>
      </c>
      <c r="D82" s="77">
        <f t="shared" ref="D82:D86" si="3">C82*30%</f>
        <v>0.39</v>
      </c>
    </row>
    <row r="83" spans="1:9" x14ac:dyDescent="0.2">
      <c r="A83" s="22" t="s">
        <v>201</v>
      </c>
      <c r="B83" s="76">
        <v>0.15</v>
      </c>
      <c r="C83" s="76">
        <v>1</v>
      </c>
      <c r="D83" s="77">
        <f t="shared" si="3"/>
        <v>0.3</v>
      </c>
    </row>
    <row r="84" spans="1:9" x14ac:dyDescent="0.2">
      <c r="A84" s="22" t="s">
        <v>202</v>
      </c>
      <c r="B84" s="76">
        <v>0.2</v>
      </c>
      <c r="C84" s="76">
        <v>1.05</v>
      </c>
      <c r="D84" s="77">
        <f t="shared" si="3"/>
        <v>0.315</v>
      </c>
      <c r="G84" s="78"/>
      <c r="H84" s="78"/>
    </row>
    <row r="85" spans="1:9" x14ac:dyDescent="0.2">
      <c r="A85" s="22" t="s">
        <v>203</v>
      </c>
      <c r="B85" s="76">
        <v>0.1</v>
      </c>
      <c r="C85" s="76">
        <v>0.8</v>
      </c>
      <c r="D85" s="77">
        <f t="shared" si="3"/>
        <v>0.24</v>
      </c>
      <c r="G85" s="84" t="s">
        <v>206</v>
      </c>
      <c r="H85" s="78"/>
      <c r="I85" s="2">
        <f>B78*D88</f>
        <v>22860000</v>
      </c>
    </row>
    <row r="86" spans="1:9" x14ac:dyDescent="0.2">
      <c r="A86" s="22" t="s">
        <v>204</v>
      </c>
      <c r="B86" s="76">
        <v>0.1</v>
      </c>
      <c r="C86" s="76">
        <v>1</v>
      </c>
      <c r="D86" s="77">
        <f t="shared" si="3"/>
        <v>0.3</v>
      </c>
    </row>
    <row r="88" spans="1:9" x14ac:dyDescent="0.2">
      <c r="A88" s="22" t="s">
        <v>205</v>
      </c>
      <c r="D88" s="77">
        <f>SUM(D81:D86)</f>
        <v>1.905</v>
      </c>
    </row>
    <row r="91" spans="1:9" ht="19" x14ac:dyDescent="0.25">
      <c r="A91" s="70"/>
      <c r="B91" s="70"/>
      <c r="C91" s="70"/>
      <c r="D91" s="70"/>
    </row>
    <row r="92" spans="1:9" x14ac:dyDescent="0.2">
      <c r="A92" s="79"/>
      <c r="B92" s="80"/>
      <c r="C92" s="80"/>
      <c r="D92" s="80"/>
    </row>
    <row r="93" spans="1:9" x14ac:dyDescent="0.2">
      <c r="A93" s="80"/>
      <c r="B93" s="80"/>
      <c r="C93" s="80"/>
      <c r="D93" s="80"/>
    </row>
    <row r="94" spans="1:9" x14ac:dyDescent="0.2">
      <c r="A94" s="81"/>
      <c r="B94" s="67"/>
      <c r="C94" s="67"/>
      <c r="D94" s="67"/>
    </row>
    <row r="95" spans="1:9" x14ac:dyDescent="0.2">
      <c r="A95" s="80"/>
      <c r="B95" s="80"/>
      <c r="C95" s="82"/>
      <c r="D95" s="83"/>
    </row>
    <row r="96" spans="1:9" x14ac:dyDescent="0.2">
      <c r="A96" s="80"/>
      <c r="B96" s="80"/>
      <c r="C96" s="82"/>
      <c r="D96" s="83"/>
    </row>
    <row r="97" spans="1:4" x14ac:dyDescent="0.2">
      <c r="A97" s="80"/>
      <c r="B97" s="80"/>
      <c r="C97" s="82"/>
      <c r="D97" s="83"/>
    </row>
    <row r="98" spans="1:4" x14ac:dyDescent="0.2">
      <c r="A98" s="80"/>
      <c r="B98" s="80"/>
      <c r="C98" s="82"/>
      <c r="D98" s="83"/>
    </row>
    <row r="99" spans="1:4" x14ac:dyDescent="0.2">
      <c r="A99" s="80"/>
      <c r="B99" s="80"/>
      <c r="C99" s="82"/>
      <c r="D99" s="83"/>
    </row>
    <row r="100" spans="1:4" x14ac:dyDescent="0.2">
      <c r="A100" s="80"/>
      <c r="B100" s="80"/>
      <c r="C100" s="82"/>
      <c r="D100" s="83"/>
    </row>
    <row r="101" spans="1:4" x14ac:dyDescent="0.2">
      <c r="A101" s="80"/>
      <c r="B101" s="80"/>
      <c r="C101" s="80"/>
      <c r="D101" s="80"/>
    </row>
    <row r="102" spans="1:4" x14ac:dyDescent="0.2">
      <c r="A102" s="80"/>
      <c r="B102" s="80"/>
      <c r="C102" s="80"/>
      <c r="D102" s="83"/>
    </row>
  </sheetData>
  <mergeCells count="3">
    <mergeCell ref="A3:I3"/>
    <mergeCell ref="A27:A32"/>
    <mergeCell ref="A36:I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924B1D-55D7-6648-8593-1851EB602F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Company Overview – BNPL Fintech</vt:lpstr>
      <vt:lpstr>Historical_Data &amp; Analysis</vt:lpstr>
      <vt:lpstr>Cohort in value</vt:lpstr>
      <vt:lpstr>Analysis</vt:lpstr>
      <vt:lpstr>P&amp;L Forecast</vt:lpstr>
      <vt:lpstr>Bridge</vt:lpstr>
      <vt:lpstr>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moumini barry</dc:creator>
  <cp:lastModifiedBy>moumini barry</cp:lastModifiedBy>
  <dcterms:created xsi:type="dcterms:W3CDTF">2025-11-23T18:42:12Z</dcterms:created>
  <dcterms:modified xsi:type="dcterms:W3CDTF">2025-11-30T14:58:53Z</dcterms:modified>
</cp:coreProperties>
</file>